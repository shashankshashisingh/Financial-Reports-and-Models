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s2888975_ed_ac_uk/Documents/Resume/Work/Models/"/>
    </mc:Choice>
  </mc:AlternateContent>
  <xr:revisionPtr revIDLastSave="4" documentId="8_{E19EC998-53A8-4EBF-80EA-6951DF344354}" xr6:coauthVersionLast="47" xr6:coauthVersionMax="47" xr10:uidLastSave="{D4C19F93-BF36-4379-A86C-1AC2C94F98DB}"/>
  <bookViews>
    <workbookView xWindow="-120" yWindow="-120" windowWidth="29040" windowHeight="15720" activeTab="3" xr2:uid="{94ADEA50-B4D7-4055-B518-98CB5CC02E9B}"/>
  </bookViews>
  <sheets>
    <sheet name="Inputs FS" sheetId="1" r:id="rId1"/>
    <sheet name="R&amp;D_Cap" sheetId="6" r:id="rId2"/>
    <sheet name="WACC" sheetId="7" r:id="rId3"/>
    <sheet name="DCF" sheetId="4" r:id="rId4"/>
    <sheet name="RV" sheetId="8" r:id="rId5"/>
    <sheet name="Dupont" sheetId="9" r:id="rId6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46029.7049652778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olver_adj" localSheetId="2" hidden="1">WACC!$E$35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WACC!$F$38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7490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4" l="1"/>
  <c r="D14" i="4"/>
  <c r="H157" i="1"/>
  <c r="H156" i="1"/>
  <c r="H158" i="1"/>
  <c r="I159" i="1"/>
  <c r="J159" i="1"/>
  <c r="K159" i="1"/>
  <c r="L159" i="1"/>
  <c r="M159" i="1"/>
  <c r="N159" i="1"/>
  <c r="O159" i="1"/>
  <c r="P159" i="1"/>
  <c r="Q159" i="1"/>
  <c r="R159" i="1"/>
  <c r="G159" i="1"/>
  <c r="H159" i="1"/>
  <c r="E2" i="9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P7" i="8"/>
  <c r="Q7" i="8"/>
  <c r="R7" i="8"/>
  <c r="S7" i="8"/>
  <c r="T7" i="8"/>
  <c r="U7" i="8"/>
  <c r="P10" i="8"/>
  <c r="P15" i="8" s="1"/>
  <c r="L47" i="8" s="1"/>
  <c r="Q10" i="8"/>
  <c r="R10" i="8"/>
  <c r="S10" i="8"/>
  <c r="T10" i="8"/>
  <c r="U10" i="8"/>
  <c r="P11" i="8"/>
  <c r="Q11" i="8"/>
  <c r="R11" i="8"/>
  <c r="S11" i="8"/>
  <c r="S14" i="8" s="1"/>
  <c r="H47" i="8" s="1"/>
  <c r="T11" i="8"/>
  <c r="U11" i="8"/>
  <c r="U14" i="8" s="1"/>
  <c r="J47" i="8" s="1"/>
  <c r="P12" i="8"/>
  <c r="Q12" i="8"/>
  <c r="R12" i="8"/>
  <c r="S12" i="8"/>
  <c r="T12" i="8"/>
  <c r="U12" i="8"/>
  <c r="P13" i="8"/>
  <c r="Q13" i="8"/>
  <c r="R13" i="8"/>
  <c r="S13" i="8"/>
  <c r="T13" i="8"/>
  <c r="U13" i="8"/>
  <c r="P14" i="8"/>
  <c r="Q14" i="8"/>
  <c r="F47" i="8" s="1"/>
  <c r="F50" i="8" s="1"/>
  <c r="R14" i="8"/>
  <c r="G47" i="8" s="1"/>
  <c r="G50" i="8" s="1"/>
  <c r="T14" i="8"/>
  <c r="S15" i="8"/>
  <c r="T15" i="8"/>
  <c r="U15" i="8"/>
  <c r="P16" i="8"/>
  <c r="R16" i="8"/>
  <c r="G55" i="8" s="1"/>
  <c r="G58" i="8" s="1"/>
  <c r="T16" i="8"/>
  <c r="I55" i="8" s="1"/>
  <c r="S17" i="8"/>
  <c r="T17" i="8"/>
  <c r="U17" i="8"/>
  <c r="P20" i="8"/>
  <c r="P25" i="8" s="1"/>
  <c r="L48" i="8" s="1"/>
  <c r="Q20" i="8"/>
  <c r="R20" i="8"/>
  <c r="S20" i="8"/>
  <c r="T20" i="8"/>
  <c r="T25" i="8" s="1"/>
  <c r="P48" i="8" s="1"/>
  <c r="U20" i="8"/>
  <c r="P21" i="8"/>
  <c r="Q21" i="8"/>
  <c r="R21" i="8"/>
  <c r="S21" i="8"/>
  <c r="S24" i="8" s="1"/>
  <c r="H48" i="8" s="1"/>
  <c r="T21" i="8"/>
  <c r="U21" i="8"/>
  <c r="U24" i="8" s="1"/>
  <c r="J48" i="8" s="1"/>
  <c r="P22" i="8"/>
  <c r="Q22" i="8"/>
  <c r="R22" i="8"/>
  <c r="S22" i="8"/>
  <c r="T22" i="8"/>
  <c r="U22" i="8"/>
  <c r="P23" i="8"/>
  <c r="Q23" i="8"/>
  <c r="R23" i="8"/>
  <c r="S23" i="8"/>
  <c r="T23" i="8"/>
  <c r="U23" i="8"/>
  <c r="P24" i="8"/>
  <c r="Q24" i="8"/>
  <c r="F48" i="8" s="1"/>
  <c r="R24" i="8"/>
  <c r="T24" i="8"/>
  <c r="S25" i="8"/>
  <c r="U25" i="8"/>
  <c r="P26" i="8"/>
  <c r="Q26" i="8"/>
  <c r="F56" i="8" s="1"/>
  <c r="R26" i="8"/>
  <c r="G56" i="8" s="1"/>
  <c r="T26" i="8"/>
  <c r="I56" i="8" s="1"/>
  <c r="S27" i="8"/>
  <c r="U27" i="8"/>
  <c r="P30" i="8"/>
  <c r="P35" i="8" s="1"/>
  <c r="L49" i="8" s="1"/>
  <c r="Q30" i="8"/>
  <c r="R30" i="8"/>
  <c r="S30" i="8"/>
  <c r="T30" i="8"/>
  <c r="T35" i="8" s="1"/>
  <c r="P49" i="8" s="1"/>
  <c r="U30" i="8"/>
  <c r="P31" i="8"/>
  <c r="Q31" i="8"/>
  <c r="R31" i="8"/>
  <c r="S31" i="8"/>
  <c r="S34" i="8" s="1"/>
  <c r="H49" i="8" s="1"/>
  <c r="T31" i="8"/>
  <c r="U31" i="8"/>
  <c r="U34" i="8" s="1"/>
  <c r="J49" i="8" s="1"/>
  <c r="P32" i="8"/>
  <c r="Q32" i="8"/>
  <c r="R32" i="8"/>
  <c r="S32" i="8"/>
  <c r="T32" i="8"/>
  <c r="U32" i="8"/>
  <c r="P33" i="8"/>
  <c r="Q33" i="8"/>
  <c r="R33" i="8"/>
  <c r="S33" i="8"/>
  <c r="T33" i="8"/>
  <c r="U33" i="8"/>
  <c r="P34" i="8"/>
  <c r="Q34" i="8"/>
  <c r="F49" i="8" s="1"/>
  <c r="R34" i="8"/>
  <c r="T34" i="8"/>
  <c r="S35" i="8"/>
  <c r="U35" i="8"/>
  <c r="P36" i="8"/>
  <c r="Q36" i="8"/>
  <c r="F57" i="8" s="1"/>
  <c r="R36" i="8"/>
  <c r="G57" i="8" s="1"/>
  <c r="T36" i="8"/>
  <c r="I57" i="8" s="1"/>
  <c r="S37" i="8"/>
  <c r="U37" i="8"/>
  <c r="E47" i="8"/>
  <c r="I47" i="8"/>
  <c r="I50" i="8" s="1"/>
  <c r="O47" i="8"/>
  <c r="P47" i="8"/>
  <c r="P50" i="8" s="1"/>
  <c r="Q47" i="8"/>
  <c r="E48" i="8"/>
  <c r="G48" i="8"/>
  <c r="I48" i="8"/>
  <c r="O48" i="8"/>
  <c r="Q48" i="8"/>
  <c r="E49" i="8"/>
  <c r="G49" i="8"/>
  <c r="I49" i="8"/>
  <c r="O49" i="8"/>
  <c r="Q49" i="8"/>
  <c r="D50" i="8"/>
  <c r="E50" i="8"/>
  <c r="O50" i="8"/>
  <c r="Q50" i="8"/>
  <c r="U50" i="8"/>
  <c r="V50" i="8"/>
  <c r="W50" i="8"/>
  <c r="E55" i="8"/>
  <c r="E58" i="8" s="1"/>
  <c r="O55" i="8"/>
  <c r="P55" i="8"/>
  <c r="Q55" i="8"/>
  <c r="E56" i="8"/>
  <c r="O56" i="8"/>
  <c r="Q56" i="8"/>
  <c r="E57" i="8"/>
  <c r="O57" i="8"/>
  <c r="Q57" i="8"/>
  <c r="D58" i="8"/>
  <c r="O58" i="8"/>
  <c r="Q58" i="8"/>
  <c r="H65" i="8"/>
  <c r="H66" i="8"/>
  <c r="H67" i="8" s="1"/>
  <c r="H68" i="8" s="1"/>
  <c r="H69" i="8" s="1"/>
  <c r="H70" i="8" s="1"/>
  <c r="E2" i="4"/>
  <c r="F2" i="4"/>
  <c r="G2" i="4"/>
  <c r="H2" i="4" s="1"/>
  <c r="I2" i="4" s="1"/>
  <c r="J2" i="4" s="1"/>
  <c r="K2" i="4" s="1"/>
  <c r="L2" i="4" s="1"/>
  <c r="M2" i="4" s="1"/>
  <c r="N2" i="4" s="1"/>
  <c r="D19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E28" i="4"/>
  <c r="E29" i="4"/>
  <c r="I42" i="4"/>
  <c r="I41" i="4"/>
  <c r="I43" i="4"/>
  <c r="I44" i="4"/>
  <c r="D44" i="4"/>
  <c r="D45" i="4" s="1"/>
  <c r="G51" i="4"/>
  <c r="F51" i="4" s="1"/>
  <c r="I51" i="4"/>
  <c r="J51" i="4" s="1"/>
  <c r="E53" i="4"/>
  <c r="E52" i="4"/>
  <c r="E55" i="4"/>
  <c r="E56" i="4" s="1"/>
  <c r="E62" i="4"/>
  <c r="F65" i="4" s="1"/>
  <c r="G62" i="4"/>
  <c r="F62" i="4"/>
  <c r="I62" i="4"/>
  <c r="J62" i="4"/>
  <c r="E64" i="4"/>
  <c r="E63" i="4"/>
  <c r="H63" i="4"/>
  <c r="I63" i="4"/>
  <c r="F64" i="4"/>
  <c r="G64" i="4"/>
  <c r="H64" i="4"/>
  <c r="I64" i="4"/>
  <c r="J64" i="4"/>
  <c r="J65" i="4"/>
  <c r="E66" i="4"/>
  <c r="G66" i="4"/>
  <c r="H66" i="4"/>
  <c r="I66" i="4"/>
  <c r="J66" i="4"/>
  <c r="E67" i="4"/>
  <c r="J67" i="4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6" i="7"/>
  <c r="S26" i="7" s="1"/>
  <c r="S30" i="7" s="1"/>
  <c r="R27" i="7"/>
  <c r="S27" i="7"/>
  <c r="R28" i="7"/>
  <c r="S28" i="7"/>
  <c r="R29" i="7"/>
  <c r="S29" i="7"/>
  <c r="E7" i="7"/>
  <c r="E8" i="7" s="1"/>
  <c r="N36" i="7"/>
  <c r="N37" i="7" s="1"/>
  <c r="N38" i="7" s="1"/>
  <c r="N39" i="7" s="1"/>
  <c r="N40" i="7" s="1"/>
  <c r="N41" i="7" s="1"/>
  <c r="O40" i="7"/>
  <c r="O41" i="7"/>
  <c r="O53" i="7"/>
  <c r="P50" i="7" s="1"/>
  <c r="P48" i="7"/>
  <c r="R48" i="7" s="1"/>
  <c r="P49" i="7"/>
  <c r="R49" i="7"/>
  <c r="P52" i="7"/>
  <c r="T52" i="7" s="1"/>
  <c r="R52" i="7"/>
  <c r="T48" i="7"/>
  <c r="T49" i="7"/>
  <c r="J26" i="7"/>
  <c r="L26" i="7"/>
  <c r="J27" i="7"/>
  <c r="L27" i="7" s="1"/>
  <c r="J28" i="7"/>
  <c r="L28" i="7" s="1"/>
  <c r="J29" i="7"/>
  <c r="L29" i="7" s="1"/>
  <c r="J32" i="7"/>
  <c r="L32" i="7"/>
  <c r="L36" i="7" s="1"/>
  <c r="J48" i="7" s="1"/>
  <c r="J33" i="7"/>
  <c r="L33" i="7"/>
  <c r="J34" i="7"/>
  <c r="L34" i="7"/>
  <c r="J35" i="7"/>
  <c r="L35" i="7" s="1"/>
  <c r="S35" i="7"/>
  <c r="J38" i="7"/>
  <c r="L38" i="7"/>
  <c r="J39" i="7"/>
  <c r="L39" i="7"/>
  <c r="J40" i="7"/>
  <c r="L40" i="7"/>
  <c r="J41" i="7"/>
  <c r="L41" i="7" s="1"/>
  <c r="H50" i="7"/>
  <c r="I47" i="7"/>
  <c r="I48" i="7"/>
  <c r="I49" i="7"/>
  <c r="I50" i="7"/>
  <c r="I55" i="7"/>
  <c r="E5" i="6"/>
  <c r="E20" i="6" s="1"/>
  <c r="A6" i="6"/>
  <c r="B6" i="6"/>
  <c r="B7" i="6" s="1"/>
  <c r="B8" i="6" s="1"/>
  <c r="E6" i="6"/>
  <c r="A7" i="6"/>
  <c r="A8" i="6" s="1"/>
  <c r="A9" i="6" s="1"/>
  <c r="A10" i="6" s="1"/>
  <c r="E7" i="6"/>
  <c r="E8" i="6"/>
  <c r="B9" i="6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E9" i="6"/>
  <c r="E10" i="6"/>
  <c r="A11" i="6"/>
  <c r="E11" i="6"/>
  <c r="E12" i="6"/>
  <c r="E13" i="6"/>
  <c r="E14" i="6"/>
  <c r="E15" i="6"/>
  <c r="F15" i="6"/>
  <c r="E16" i="6"/>
  <c r="F16" i="6"/>
  <c r="E17" i="6"/>
  <c r="F17" i="6"/>
  <c r="E18" i="6"/>
  <c r="F18" i="6"/>
  <c r="E19" i="6"/>
  <c r="F19" i="6"/>
  <c r="F20" i="6"/>
  <c r="E2" i="1"/>
  <c r="F2" i="1" s="1"/>
  <c r="G2" i="1"/>
  <c r="I55" i="1"/>
  <c r="E52" i="1"/>
  <c r="E55" i="1"/>
  <c r="F52" i="1"/>
  <c r="F56" i="1" s="1"/>
  <c r="F55" i="1"/>
  <c r="G52" i="1"/>
  <c r="G55" i="1"/>
  <c r="G56" i="1"/>
  <c r="H52" i="1"/>
  <c r="K52" i="1" s="1"/>
  <c r="H55" i="1"/>
  <c r="J55" i="1"/>
  <c r="J57" i="1" s="1"/>
  <c r="K55" i="1"/>
  <c r="K57" i="1"/>
  <c r="L55" i="1"/>
  <c r="L57" i="1" s="1"/>
  <c r="M55" i="1"/>
  <c r="M57" i="1"/>
  <c r="N57" i="1" s="1"/>
  <c r="O57" i="1" s="1"/>
  <c r="P57" i="1" s="1"/>
  <c r="Q57" i="1" s="1"/>
  <c r="H62" i="1"/>
  <c r="I62" i="1"/>
  <c r="J62" i="1" s="1"/>
  <c r="K62" i="1" s="1"/>
  <c r="L62" i="1" s="1"/>
  <c r="M62" i="1"/>
  <c r="N62" i="1"/>
  <c r="O62" i="1" s="1"/>
  <c r="P62" i="1" s="1"/>
  <c r="Q62" i="1" s="1"/>
  <c r="R62" i="1" s="1"/>
  <c r="D8" i="1"/>
  <c r="E8" i="1"/>
  <c r="F8" i="1"/>
  <c r="G8" i="1"/>
  <c r="H8" i="1"/>
  <c r="H13" i="1" s="1"/>
  <c r="H19" i="1" s="1"/>
  <c r="H24" i="1" s="1"/>
  <c r="D63" i="1"/>
  <c r="E63" i="1"/>
  <c r="F63" i="1"/>
  <c r="G63" i="1"/>
  <c r="H63" i="1"/>
  <c r="D13" i="1"/>
  <c r="D19" i="1" s="1"/>
  <c r="D24" i="1" s="1"/>
  <c r="E13" i="1"/>
  <c r="E19" i="1" s="1"/>
  <c r="E24" i="1" s="1"/>
  <c r="F13" i="1"/>
  <c r="F19" i="1" s="1"/>
  <c r="F24" i="1" s="1"/>
  <c r="G13" i="1"/>
  <c r="G19" i="1" s="1"/>
  <c r="D60" i="1"/>
  <c r="E60" i="1"/>
  <c r="F60" i="1"/>
  <c r="G60" i="1"/>
  <c r="I60" i="1" s="1"/>
  <c r="H60" i="1"/>
  <c r="D61" i="1"/>
  <c r="E61" i="1"/>
  <c r="F61" i="1"/>
  <c r="G61" i="1"/>
  <c r="H61" i="1"/>
  <c r="D23" i="1"/>
  <c r="E23" i="1"/>
  <c r="F23" i="1"/>
  <c r="F125" i="1" s="1"/>
  <c r="G23" i="1"/>
  <c r="G125" i="1" s="1"/>
  <c r="H23" i="1"/>
  <c r="G24" i="1"/>
  <c r="D51" i="1"/>
  <c r="E51" i="1"/>
  <c r="F51" i="1"/>
  <c r="G51" i="1"/>
  <c r="H51" i="1"/>
  <c r="N51" i="1"/>
  <c r="D50" i="1"/>
  <c r="E50" i="1"/>
  <c r="F50" i="1"/>
  <c r="G50" i="1"/>
  <c r="H50" i="1"/>
  <c r="I52" i="1"/>
  <c r="J52" i="1"/>
  <c r="N55" i="1"/>
  <c r="O55" i="1"/>
  <c r="P55" i="1"/>
  <c r="Q55" i="1"/>
  <c r="R55" i="1"/>
  <c r="D62" i="1"/>
  <c r="E62" i="1"/>
  <c r="F62" i="1"/>
  <c r="G62" i="1"/>
  <c r="D65" i="1"/>
  <c r="E65" i="1"/>
  <c r="F65" i="1"/>
  <c r="G65" i="1"/>
  <c r="H65" i="1"/>
  <c r="D73" i="1"/>
  <c r="D75" i="1" s="1"/>
  <c r="D81" i="1" s="1"/>
  <c r="D89" i="1" s="1"/>
  <c r="E73" i="1"/>
  <c r="E75" i="1" s="1"/>
  <c r="E81" i="1" s="1"/>
  <c r="E89" i="1" s="1"/>
  <c r="F73" i="1"/>
  <c r="G73" i="1"/>
  <c r="H73" i="1"/>
  <c r="F75" i="1"/>
  <c r="G75" i="1"/>
  <c r="H75" i="1"/>
  <c r="H81" i="1" s="1"/>
  <c r="H89" i="1" s="1"/>
  <c r="F81" i="1"/>
  <c r="G81" i="1"/>
  <c r="G89" i="1" s="1"/>
  <c r="D88" i="1"/>
  <c r="E88" i="1"/>
  <c r="F88" i="1"/>
  <c r="G88" i="1"/>
  <c r="H88" i="1"/>
  <c r="D99" i="1"/>
  <c r="E99" i="1"/>
  <c r="F99" i="1"/>
  <c r="G99" i="1"/>
  <c r="H99" i="1"/>
  <c r="H118" i="1" s="1"/>
  <c r="H120" i="1" s="1"/>
  <c r="D108" i="1"/>
  <c r="D117" i="1" s="1"/>
  <c r="D118" i="1" s="1"/>
  <c r="D120" i="1" s="1"/>
  <c r="E108" i="1"/>
  <c r="E117" i="1" s="1"/>
  <c r="E118" i="1" s="1"/>
  <c r="F108" i="1"/>
  <c r="F117" i="1" s="1"/>
  <c r="G108" i="1"/>
  <c r="H108" i="1"/>
  <c r="D116" i="1"/>
  <c r="E116" i="1"/>
  <c r="F116" i="1"/>
  <c r="G116" i="1"/>
  <c r="H116" i="1"/>
  <c r="G117" i="1"/>
  <c r="G118" i="1" s="1"/>
  <c r="G120" i="1" s="1"/>
  <c r="H117" i="1"/>
  <c r="F118" i="1"/>
  <c r="D125" i="1"/>
  <c r="E125" i="1"/>
  <c r="D159" i="1"/>
  <c r="E159" i="1"/>
  <c r="F159" i="1"/>
  <c r="D160" i="1"/>
  <c r="E160" i="1"/>
  <c r="F160" i="1"/>
  <c r="G160" i="1"/>
  <c r="H160" i="1"/>
  <c r="D163" i="1"/>
  <c r="E163" i="1"/>
  <c r="I163" i="1" s="1"/>
  <c r="F163" i="1"/>
  <c r="G163" i="1"/>
  <c r="H163" i="1"/>
  <c r="L163" i="1"/>
  <c r="H164" i="1"/>
  <c r="D9" i="4" s="1"/>
  <c r="D168" i="1"/>
  <c r="E168" i="1"/>
  <c r="R168" i="1" s="1"/>
  <c r="F168" i="1"/>
  <c r="K168" i="1" s="1"/>
  <c r="G168" i="1"/>
  <c r="G181" i="1" s="1"/>
  <c r="H168" i="1"/>
  <c r="I168" i="1"/>
  <c r="J168" i="1"/>
  <c r="O168" i="1"/>
  <c r="D169" i="1"/>
  <c r="E169" i="1"/>
  <c r="F169" i="1"/>
  <c r="L169" i="1" s="1"/>
  <c r="G169" i="1"/>
  <c r="P169" i="1" s="1"/>
  <c r="H169" i="1"/>
  <c r="H182" i="1" s="1"/>
  <c r="H184" i="1" s="1"/>
  <c r="H193" i="1" s="1"/>
  <c r="N169" i="1"/>
  <c r="O169" i="1"/>
  <c r="R169" i="1"/>
  <c r="D170" i="1"/>
  <c r="E170" i="1"/>
  <c r="F170" i="1"/>
  <c r="G170" i="1"/>
  <c r="H170" i="1"/>
  <c r="I170" i="1"/>
  <c r="K170" i="1"/>
  <c r="L170" i="1"/>
  <c r="M170" i="1"/>
  <c r="O170" i="1"/>
  <c r="P170" i="1"/>
  <c r="Q170" i="1"/>
  <c r="D173" i="1"/>
  <c r="E173" i="1"/>
  <c r="F173" i="1"/>
  <c r="G173" i="1"/>
  <c r="H173" i="1"/>
  <c r="J173" i="1" s="1"/>
  <c r="I173" i="1"/>
  <c r="M173" i="1"/>
  <c r="N173" i="1"/>
  <c r="R173" i="1"/>
  <c r="D174" i="1"/>
  <c r="L174" i="1" s="1"/>
  <c r="E174" i="1"/>
  <c r="F174" i="1"/>
  <c r="G174" i="1"/>
  <c r="H174" i="1"/>
  <c r="I174" i="1"/>
  <c r="J174" i="1"/>
  <c r="K174" i="1"/>
  <c r="O174" i="1"/>
  <c r="Q174" i="1"/>
  <c r="R174" i="1"/>
  <c r="D175" i="1"/>
  <c r="E175" i="1"/>
  <c r="F175" i="1"/>
  <c r="G175" i="1"/>
  <c r="H175" i="1"/>
  <c r="D177" i="1"/>
  <c r="E177" i="1"/>
  <c r="F177" i="1"/>
  <c r="G177" i="1"/>
  <c r="H177" i="1"/>
  <c r="I177" i="1"/>
  <c r="J177" i="1"/>
  <c r="K177" i="1"/>
  <c r="M177" i="1"/>
  <c r="H181" i="1"/>
  <c r="G183" i="1"/>
  <c r="H183" i="1"/>
  <c r="G187" i="1"/>
  <c r="H187" i="1"/>
  <c r="G188" i="1"/>
  <c r="H188" i="1"/>
  <c r="G189" i="1"/>
  <c r="H189" i="1"/>
  <c r="G191" i="1"/>
  <c r="H191" i="1"/>
  <c r="C205" i="1"/>
  <c r="D205" i="1"/>
  <c r="E205" i="1"/>
  <c r="F215" i="1" s="1"/>
  <c r="F205" i="1"/>
  <c r="G205" i="1"/>
  <c r="H215" i="1" s="1"/>
  <c r="H205" i="1"/>
  <c r="J205" i="1"/>
  <c r="K205" i="1"/>
  <c r="L205" i="1"/>
  <c r="M205" i="1"/>
  <c r="N205" i="1"/>
  <c r="O205" i="1"/>
  <c r="P205" i="1"/>
  <c r="Q205" i="1"/>
  <c r="R205" i="1"/>
  <c r="D209" i="1"/>
  <c r="E209" i="1"/>
  <c r="F209" i="1"/>
  <c r="G209" i="1"/>
  <c r="H209" i="1"/>
  <c r="K209" i="1" s="1"/>
  <c r="J209" i="1"/>
  <c r="D210" i="1"/>
  <c r="E210" i="1"/>
  <c r="F210" i="1"/>
  <c r="G210" i="1"/>
  <c r="H210" i="1"/>
  <c r="D211" i="1"/>
  <c r="E211" i="1"/>
  <c r="F211" i="1"/>
  <c r="G211" i="1"/>
  <c r="H211" i="1"/>
  <c r="D212" i="1"/>
  <c r="E212" i="1"/>
  <c r="F212" i="1"/>
  <c r="G212" i="1"/>
  <c r="H212" i="1"/>
  <c r="J212" i="1"/>
  <c r="K212" i="1"/>
  <c r="M212" i="1" s="1"/>
  <c r="L212" i="1"/>
  <c r="D213" i="1"/>
  <c r="E213" i="1"/>
  <c r="F213" i="1"/>
  <c r="G213" i="1"/>
  <c r="H213" i="1"/>
  <c r="J213" i="1"/>
  <c r="L213" i="1" s="1"/>
  <c r="K213" i="1"/>
  <c r="D215" i="1"/>
  <c r="E215" i="1"/>
  <c r="G215" i="1"/>
  <c r="I219" i="1"/>
  <c r="H226" i="1"/>
  <c r="H246" i="1" s="1"/>
  <c r="I237" i="1"/>
  <c r="J237" i="1" s="1"/>
  <c r="I220" i="1"/>
  <c r="D226" i="1"/>
  <c r="D243" i="1" s="1"/>
  <c r="N243" i="1" s="1"/>
  <c r="E226" i="1"/>
  <c r="E243" i="1" s="1"/>
  <c r="M243" i="1" s="1"/>
  <c r="F226" i="1"/>
  <c r="F243" i="1"/>
  <c r="G226" i="1"/>
  <c r="G243" i="1"/>
  <c r="H243" i="1"/>
  <c r="E244" i="1"/>
  <c r="F244" i="1"/>
  <c r="F248" i="1" s="1"/>
  <c r="G244" i="1"/>
  <c r="H244" i="1"/>
  <c r="E245" i="1"/>
  <c r="F245" i="1"/>
  <c r="G245" i="1"/>
  <c r="D246" i="1"/>
  <c r="E246" i="1"/>
  <c r="F246" i="1"/>
  <c r="G246" i="1"/>
  <c r="I225" i="1"/>
  <c r="C226" i="1"/>
  <c r="D230" i="1"/>
  <c r="E230" i="1"/>
  <c r="F230" i="1"/>
  <c r="G230" i="1"/>
  <c r="I230" i="1" s="1"/>
  <c r="H230" i="1"/>
  <c r="D231" i="1"/>
  <c r="I231" i="1" s="1"/>
  <c r="E231" i="1"/>
  <c r="F231" i="1"/>
  <c r="G231" i="1"/>
  <c r="H231" i="1"/>
  <c r="D232" i="1"/>
  <c r="E232" i="1"/>
  <c r="F232" i="1"/>
  <c r="G232" i="1"/>
  <c r="I232" i="1" s="1"/>
  <c r="H232" i="1"/>
  <c r="D233" i="1"/>
  <c r="I233" i="1" s="1"/>
  <c r="E233" i="1"/>
  <c r="F233" i="1"/>
  <c r="G233" i="1"/>
  <c r="H233" i="1"/>
  <c r="D234" i="1"/>
  <c r="E234" i="1"/>
  <c r="F234" i="1"/>
  <c r="G234" i="1"/>
  <c r="H234" i="1"/>
  <c r="I234" i="1" s="1"/>
  <c r="D235" i="1"/>
  <c r="E235" i="1"/>
  <c r="F235" i="1"/>
  <c r="G235" i="1"/>
  <c r="H235" i="1"/>
  <c r="F237" i="1"/>
  <c r="G237" i="1"/>
  <c r="H237" i="1"/>
  <c r="D241" i="1"/>
  <c r="E241" i="1"/>
  <c r="F241" i="1"/>
  <c r="G241" i="1"/>
  <c r="H241" i="1"/>
  <c r="D242" i="1"/>
  <c r="E242" i="1"/>
  <c r="F242" i="1"/>
  <c r="G242" i="1"/>
  <c r="E247" i="1"/>
  <c r="F247" i="1"/>
  <c r="G247" i="1"/>
  <c r="E248" i="1"/>
  <c r="G248" i="1"/>
  <c r="D252" i="1"/>
  <c r="O252" i="1" s="1"/>
  <c r="E252" i="1"/>
  <c r="F252" i="1"/>
  <c r="G252" i="1"/>
  <c r="H252" i="1"/>
  <c r="M252" i="1"/>
  <c r="N252" i="1"/>
  <c r="P252" i="1"/>
  <c r="D253" i="1"/>
  <c r="E253" i="1"/>
  <c r="N253" i="1" s="1"/>
  <c r="F253" i="1"/>
  <c r="R253" i="1" s="1"/>
  <c r="G253" i="1"/>
  <c r="L253" i="1" s="1"/>
  <c r="H253" i="1"/>
  <c r="J253" i="1"/>
  <c r="K253" i="1"/>
  <c r="M253" i="1"/>
  <c r="D254" i="1"/>
  <c r="I254" i="1" s="1"/>
  <c r="E254" i="1"/>
  <c r="F254" i="1"/>
  <c r="G254" i="1"/>
  <c r="P254" i="1" s="1"/>
  <c r="H254" i="1"/>
  <c r="J254" i="1" s="1"/>
  <c r="D255" i="1"/>
  <c r="R255" i="1" s="1"/>
  <c r="E255" i="1"/>
  <c r="P255" i="1" s="1"/>
  <c r="F255" i="1"/>
  <c r="G255" i="1"/>
  <c r="H255" i="1"/>
  <c r="Q255" i="1"/>
  <c r="D256" i="1"/>
  <c r="O256" i="1" s="1"/>
  <c r="E256" i="1"/>
  <c r="F256" i="1"/>
  <c r="G256" i="1"/>
  <c r="H256" i="1"/>
  <c r="N256" i="1"/>
  <c r="P256" i="1"/>
  <c r="H9" i="9" l="1"/>
  <c r="H10" i="9"/>
  <c r="E9" i="9"/>
  <c r="E10" i="9"/>
  <c r="D10" i="9"/>
  <c r="D9" i="9"/>
  <c r="K60" i="1"/>
  <c r="L60" i="1" s="1"/>
  <c r="M246" i="1"/>
  <c r="G184" i="1"/>
  <c r="G193" i="1" s="1"/>
  <c r="H194" i="1" s="1"/>
  <c r="D10" i="4" s="1"/>
  <c r="N213" i="1"/>
  <c r="J226" i="1"/>
  <c r="K237" i="1"/>
  <c r="L237" i="1" s="1"/>
  <c r="M237" i="1" s="1"/>
  <c r="N237" i="1" s="1"/>
  <c r="O237" i="1" s="1"/>
  <c r="P237" i="1" s="1"/>
  <c r="Q237" i="1" s="1"/>
  <c r="K211" i="1"/>
  <c r="E120" i="1"/>
  <c r="G9" i="9"/>
  <c r="G10" i="9"/>
  <c r="J60" i="1"/>
  <c r="L256" i="1"/>
  <c r="O255" i="1"/>
  <c r="R254" i="1"/>
  <c r="I253" i="1"/>
  <c r="L252" i="1"/>
  <c r="H247" i="1"/>
  <c r="D244" i="1"/>
  <c r="J243" i="1"/>
  <c r="M213" i="1"/>
  <c r="N212" i="1"/>
  <c r="L173" i="1"/>
  <c r="Q163" i="1"/>
  <c r="N63" i="1"/>
  <c r="I63" i="1"/>
  <c r="O63" i="1"/>
  <c r="R63" i="1"/>
  <c r="J63" i="1"/>
  <c r="K63" i="1"/>
  <c r="K256" i="1"/>
  <c r="N255" i="1"/>
  <c r="Q254" i="1"/>
  <c r="K252" i="1"/>
  <c r="H245" i="1"/>
  <c r="P177" i="1"/>
  <c r="Q177" i="1"/>
  <c r="R177" i="1"/>
  <c r="L177" i="1"/>
  <c r="M163" i="1"/>
  <c r="F89" i="1"/>
  <c r="I50" i="1"/>
  <c r="E31" i="4"/>
  <c r="Q15" i="8"/>
  <c r="M47" i="8" s="1"/>
  <c r="Q17" i="8"/>
  <c r="M55" i="8" s="1"/>
  <c r="Q16" i="8"/>
  <c r="F55" i="8" s="1"/>
  <c r="F58" i="8" s="1"/>
  <c r="J246" i="1"/>
  <c r="P246" i="1"/>
  <c r="L246" i="1"/>
  <c r="M256" i="1"/>
  <c r="I243" i="1"/>
  <c r="L255" i="1"/>
  <c r="J50" i="8"/>
  <c r="I252" i="1"/>
  <c r="L168" i="1"/>
  <c r="M52" i="1"/>
  <c r="Q63" i="1"/>
  <c r="M255" i="1"/>
  <c r="P243" i="1"/>
  <c r="K163" i="1"/>
  <c r="K255" i="1"/>
  <c r="Q253" i="1"/>
  <c r="D247" i="1"/>
  <c r="K246" i="1"/>
  <c r="L209" i="1"/>
  <c r="J255" i="1"/>
  <c r="M254" i="1"/>
  <c r="P253" i="1"/>
  <c r="H242" i="1"/>
  <c r="H248" i="1" s="1"/>
  <c r="R246" i="1"/>
  <c r="I246" i="1"/>
  <c r="I224" i="1" s="1"/>
  <c r="D245" i="1"/>
  <c r="O243" i="1"/>
  <c r="O173" i="1"/>
  <c r="P173" i="1"/>
  <c r="Q173" i="1"/>
  <c r="K173" i="1"/>
  <c r="I169" i="1"/>
  <c r="J169" i="1"/>
  <c r="K169" i="1"/>
  <c r="M169" i="1"/>
  <c r="Q169" i="1"/>
  <c r="P63" i="1"/>
  <c r="L42" i="7"/>
  <c r="J49" i="7" s="1"/>
  <c r="I255" i="1"/>
  <c r="O253" i="1"/>
  <c r="E237" i="1"/>
  <c r="O177" i="1"/>
  <c r="D8" i="4"/>
  <c r="H125" i="1"/>
  <c r="I61" i="1"/>
  <c r="J61" i="1" s="1"/>
  <c r="M63" i="1"/>
  <c r="A12" i="6"/>
  <c r="N246" i="1"/>
  <c r="J256" i="1"/>
  <c r="J252" i="1"/>
  <c r="I256" i="1"/>
  <c r="O254" i="1"/>
  <c r="P168" i="1"/>
  <c r="N254" i="1"/>
  <c r="R256" i="1"/>
  <c r="L254" i="1"/>
  <c r="R252" i="1"/>
  <c r="Q256" i="1"/>
  <c r="K254" i="1"/>
  <c r="Q252" i="1"/>
  <c r="D237" i="1"/>
  <c r="Q246" i="1"/>
  <c r="J210" i="1"/>
  <c r="N177" i="1"/>
  <c r="P174" i="1"/>
  <c r="R170" i="1"/>
  <c r="J170" i="1"/>
  <c r="N170" i="1"/>
  <c r="Q168" i="1"/>
  <c r="L63" i="1"/>
  <c r="O246" i="1"/>
  <c r="N163" i="1"/>
  <c r="O163" i="1"/>
  <c r="P163" i="1"/>
  <c r="R163" i="1"/>
  <c r="J163" i="1"/>
  <c r="I51" i="1"/>
  <c r="O51" i="1"/>
  <c r="J51" i="1"/>
  <c r="P51" i="1"/>
  <c r="K51" i="1"/>
  <c r="Q51" i="1"/>
  <c r="L51" i="1"/>
  <c r="R51" i="1"/>
  <c r="M51" i="1"/>
  <c r="K243" i="1"/>
  <c r="Q243" i="1"/>
  <c r="L243" i="1"/>
  <c r="R243" i="1"/>
  <c r="J211" i="1"/>
  <c r="G182" i="1"/>
  <c r="E56" i="1"/>
  <c r="R21" i="7"/>
  <c r="H56" i="1"/>
  <c r="H57" i="1" s="1"/>
  <c r="L50" i="8"/>
  <c r="P53" i="7"/>
  <c r="I58" i="8"/>
  <c r="H50" i="8"/>
  <c r="H2" i="1"/>
  <c r="E12" i="7"/>
  <c r="K16" i="7"/>
  <c r="K17" i="7" s="1"/>
  <c r="P41" i="7" s="1"/>
  <c r="N174" i="1"/>
  <c r="N168" i="1"/>
  <c r="L30" i="7"/>
  <c r="J47" i="7" s="1"/>
  <c r="J50" i="7" s="1"/>
  <c r="I56" i="7" s="1"/>
  <c r="E13" i="7" s="1"/>
  <c r="T50" i="7"/>
  <c r="R50" i="7"/>
  <c r="M174" i="1"/>
  <c r="M168" i="1"/>
  <c r="L52" i="1"/>
  <c r="E21" i="6"/>
  <c r="R35" i="8"/>
  <c r="N49" i="8" s="1"/>
  <c r="R37" i="8"/>
  <c r="N57" i="8" s="1"/>
  <c r="R25" i="8"/>
  <c r="N48" i="8" s="1"/>
  <c r="R27" i="8"/>
  <c r="N56" i="8" s="1"/>
  <c r="Q35" i="8"/>
  <c r="M49" i="8" s="1"/>
  <c r="Q37" i="8"/>
  <c r="M57" i="8" s="1"/>
  <c r="Q25" i="8"/>
  <c r="M48" i="8" s="1"/>
  <c r="Q27" i="8"/>
  <c r="M56" i="8" s="1"/>
  <c r="R15" i="8"/>
  <c r="N47" i="8" s="1"/>
  <c r="R17" i="8"/>
  <c r="N55" i="8" s="1"/>
  <c r="N58" i="8" s="1"/>
  <c r="F66" i="4"/>
  <c r="J63" i="4"/>
  <c r="T37" i="8"/>
  <c r="P57" i="8" s="1"/>
  <c r="T27" i="8"/>
  <c r="P56" i="8" s="1"/>
  <c r="P58" i="8" s="1"/>
  <c r="I67" i="4"/>
  <c r="I65" i="4"/>
  <c r="G63" i="4"/>
  <c r="P51" i="7"/>
  <c r="H67" i="4"/>
  <c r="H65" i="4"/>
  <c r="F63" i="4"/>
  <c r="G67" i="4"/>
  <c r="G65" i="4"/>
  <c r="P37" i="8"/>
  <c r="L57" i="8" s="1"/>
  <c r="P27" i="8"/>
  <c r="L56" i="8" s="1"/>
  <c r="P17" i="8"/>
  <c r="L55" i="8" s="1"/>
  <c r="L58" i="8" s="1"/>
  <c r="F67" i="4"/>
  <c r="U36" i="8"/>
  <c r="J57" i="8" s="1"/>
  <c r="U26" i="8"/>
  <c r="J56" i="8" s="1"/>
  <c r="U16" i="8"/>
  <c r="J55" i="8" s="1"/>
  <c r="S36" i="8"/>
  <c r="H57" i="8" s="1"/>
  <c r="S26" i="8"/>
  <c r="H56" i="8" s="1"/>
  <c r="S16" i="8"/>
  <c r="H55" i="8" s="1"/>
  <c r="Q213" i="1" l="1"/>
  <c r="R213" i="1" s="1"/>
  <c r="K61" i="1"/>
  <c r="L61" i="1"/>
  <c r="R53" i="7"/>
  <c r="E14" i="7" s="1"/>
  <c r="E16" i="7" s="1"/>
  <c r="D21" i="7" s="1"/>
  <c r="I221" i="1"/>
  <c r="O212" i="1"/>
  <c r="J58" i="8"/>
  <c r="R51" i="7"/>
  <c r="T51" i="7"/>
  <c r="T53" i="7" s="1"/>
  <c r="E15" i="7" s="1"/>
  <c r="E22" i="6"/>
  <c r="I56" i="1"/>
  <c r="I57" i="1" s="1"/>
  <c r="I6" i="1" s="1"/>
  <c r="F9" i="9"/>
  <c r="I9" i="9" s="1"/>
  <c r="F10" i="9"/>
  <c r="P212" i="1"/>
  <c r="I2" i="1"/>
  <c r="E23" i="6"/>
  <c r="R248" i="1"/>
  <c r="K210" i="1"/>
  <c r="A13" i="6"/>
  <c r="M60" i="1"/>
  <c r="I30" i="1"/>
  <c r="L210" i="1"/>
  <c r="M58" i="8"/>
  <c r="J219" i="1"/>
  <c r="J220" i="1"/>
  <c r="J224" i="1"/>
  <c r="J225" i="1"/>
  <c r="J221" i="1"/>
  <c r="K226" i="1"/>
  <c r="K244" i="1"/>
  <c r="K248" i="1" s="1"/>
  <c r="Q244" i="1"/>
  <c r="P244" i="1"/>
  <c r="P248" i="1" s="1"/>
  <c r="I244" i="1"/>
  <c r="I222" i="1" s="1"/>
  <c r="R244" i="1"/>
  <c r="M244" i="1"/>
  <c r="J244" i="1"/>
  <c r="J248" i="1" s="1"/>
  <c r="D248" i="1"/>
  <c r="L244" i="1"/>
  <c r="N244" i="1"/>
  <c r="N248" i="1" s="1"/>
  <c r="O244" i="1"/>
  <c r="O248" i="1" s="1"/>
  <c r="L211" i="1"/>
  <c r="Q248" i="1"/>
  <c r="F120" i="1"/>
  <c r="M50" i="8"/>
  <c r="J50" i="1"/>
  <c r="P37" i="7"/>
  <c r="P38" i="7"/>
  <c r="K18" i="7"/>
  <c r="D22" i="7" s="1"/>
  <c r="P40" i="7"/>
  <c r="P39" i="7"/>
  <c r="P36" i="7"/>
  <c r="P35" i="7"/>
  <c r="M61" i="1"/>
  <c r="N61" i="1"/>
  <c r="J245" i="1"/>
  <c r="J223" i="1" s="1"/>
  <c r="P245" i="1"/>
  <c r="K245" i="1"/>
  <c r="Q245" i="1"/>
  <c r="L245" i="1"/>
  <c r="L248" i="1" s="1"/>
  <c r="M245" i="1"/>
  <c r="O245" i="1"/>
  <c r="N245" i="1"/>
  <c r="I245" i="1"/>
  <c r="I223" i="1" s="1"/>
  <c r="R245" i="1"/>
  <c r="H58" i="8"/>
  <c r="N50" i="8"/>
  <c r="N52" i="1"/>
  <c r="M209" i="1"/>
  <c r="O213" i="1"/>
  <c r="P213" i="1" s="1"/>
  <c r="N60" i="1"/>
  <c r="K50" i="1"/>
  <c r="Q9" i="9"/>
  <c r="R9" i="9"/>
  <c r="O9" i="9"/>
  <c r="P9" i="9"/>
  <c r="O52" i="1" l="1"/>
  <c r="P52" i="1" s="1"/>
  <c r="K10" i="9"/>
  <c r="I248" i="1"/>
  <c r="J2" i="1"/>
  <c r="I10" i="9"/>
  <c r="Q212" i="1"/>
  <c r="R212" i="1" s="1"/>
  <c r="K221" i="1"/>
  <c r="K222" i="1"/>
  <c r="L226" i="1"/>
  <c r="K223" i="1"/>
  <c r="K220" i="1"/>
  <c r="K224" i="1"/>
  <c r="K225" i="1"/>
  <c r="K219" i="1"/>
  <c r="M9" i="9"/>
  <c r="L50" i="1"/>
  <c r="Q61" i="1"/>
  <c r="J6" i="1"/>
  <c r="I11" i="1"/>
  <c r="I7" i="1"/>
  <c r="I22" i="1"/>
  <c r="I8" i="1"/>
  <c r="I21" i="1"/>
  <c r="I181" i="1"/>
  <c r="I189" i="1"/>
  <c r="D20" i="6"/>
  <c r="C20" i="6" s="1"/>
  <c r="I164" i="1"/>
  <c r="E9" i="4" s="1"/>
  <c r="I183" i="1"/>
  <c r="L9" i="9"/>
  <c r="P61" i="1"/>
  <c r="R61" i="1" s="1"/>
  <c r="M211" i="1"/>
  <c r="O60" i="1"/>
  <c r="P60" i="1" s="1"/>
  <c r="K9" i="9"/>
  <c r="N209" i="1"/>
  <c r="O209" i="1" s="1"/>
  <c r="E24" i="6"/>
  <c r="M210" i="1"/>
  <c r="N210" i="1" s="1"/>
  <c r="O61" i="1"/>
  <c r="N9" i="9"/>
  <c r="J9" i="9"/>
  <c r="P42" i="7"/>
  <c r="I6" i="7" s="1"/>
  <c r="M248" i="1"/>
  <c r="A14" i="6"/>
  <c r="Q60" i="1"/>
  <c r="J222" i="1"/>
  <c r="J10" i="9"/>
  <c r="P209" i="1" l="1"/>
  <c r="Q209" i="1" s="1"/>
  <c r="F21" i="6"/>
  <c r="L223" i="1"/>
  <c r="L219" i="1"/>
  <c r="M226" i="1"/>
  <c r="L222" i="1"/>
  <c r="L221" i="1"/>
  <c r="L220" i="1"/>
  <c r="L224" i="1"/>
  <c r="L225" i="1"/>
  <c r="O210" i="1"/>
  <c r="P210" i="1" s="1"/>
  <c r="A15" i="6"/>
  <c r="I7" i="7"/>
  <c r="J5" i="7" s="1"/>
  <c r="J6" i="7"/>
  <c r="E22" i="7" s="1"/>
  <c r="I23" i="1"/>
  <c r="E8" i="4" s="1"/>
  <c r="N50" i="1"/>
  <c r="O211" i="1"/>
  <c r="N211" i="1"/>
  <c r="I65" i="1"/>
  <c r="I160" i="1"/>
  <c r="R60" i="1"/>
  <c r="L10" i="9"/>
  <c r="M10" i="9" s="1"/>
  <c r="J7" i="1"/>
  <c r="D21" i="6"/>
  <c r="C21" i="6" s="1"/>
  <c r="J21" i="1"/>
  <c r="K6" i="1"/>
  <c r="J11" i="1"/>
  <c r="J22" i="1"/>
  <c r="J189" i="1"/>
  <c r="J181" i="1"/>
  <c r="J183" i="1"/>
  <c r="J164" i="1"/>
  <c r="F9" i="4" s="1"/>
  <c r="J30" i="1"/>
  <c r="E25" i="6"/>
  <c r="E26" i="6" s="1"/>
  <c r="K2" i="1"/>
  <c r="D26" i="1"/>
  <c r="I182" i="1"/>
  <c r="I184" i="1" s="1"/>
  <c r="I193" i="1" s="1"/>
  <c r="I187" i="1"/>
  <c r="I191" i="1" s="1"/>
  <c r="I188" i="1"/>
  <c r="Q52" i="1"/>
  <c r="R52" i="1" s="1"/>
  <c r="M50" i="1"/>
  <c r="I194" i="1" l="1"/>
  <c r="E10" i="4" s="1"/>
  <c r="Q210" i="1"/>
  <c r="R210" i="1" s="1"/>
  <c r="E27" i="6"/>
  <c r="E28" i="6" s="1"/>
  <c r="E29" i="6" s="1"/>
  <c r="R211" i="1"/>
  <c r="F23" i="6"/>
  <c r="F22" i="6"/>
  <c r="E21" i="7"/>
  <c r="E23" i="7" s="1"/>
  <c r="J7" i="7"/>
  <c r="N226" i="1"/>
  <c r="M221" i="1"/>
  <c r="M223" i="1"/>
  <c r="M219" i="1"/>
  <c r="M220" i="1"/>
  <c r="M222" i="1"/>
  <c r="M224" i="1"/>
  <c r="M225" i="1"/>
  <c r="N10" i="9"/>
  <c r="L2" i="1"/>
  <c r="R209" i="1"/>
  <c r="J182" i="1"/>
  <c r="J184" i="1" s="1"/>
  <c r="J193" i="1" s="1"/>
  <c r="J187" i="1"/>
  <c r="J191" i="1" s="1"/>
  <c r="J188" i="1"/>
  <c r="D27" i="1"/>
  <c r="D28" i="1" s="1"/>
  <c r="O50" i="1"/>
  <c r="P50" i="1" s="1"/>
  <c r="Q50" i="1" s="1"/>
  <c r="K21" i="1"/>
  <c r="K22" i="1"/>
  <c r="K7" i="1"/>
  <c r="K11" i="1"/>
  <c r="D22" i="6"/>
  <c r="C22" i="6" s="1"/>
  <c r="K183" i="1"/>
  <c r="L6" i="1"/>
  <c r="K189" i="1"/>
  <c r="K181" i="1"/>
  <c r="K30" i="1"/>
  <c r="K164" i="1"/>
  <c r="G9" i="4" s="1"/>
  <c r="J8" i="1"/>
  <c r="O10" i="9"/>
  <c r="P10" i="9" s="1"/>
  <c r="A16" i="6"/>
  <c r="J23" i="1"/>
  <c r="F8" i="4" s="1"/>
  <c r="P211" i="1"/>
  <c r="Q211" i="1"/>
  <c r="J194" i="1" l="1"/>
  <c r="F10" i="4" s="1"/>
  <c r="J65" i="1"/>
  <c r="J160" i="1"/>
  <c r="R50" i="1"/>
  <c r="D23" i="6"/>
  <c r="C23" i="6" s="1"/>
  <c r="L21" i="1"/>
  <c r="L23" i="1" s="1"/>
  <c r="H8" i="4" s="1"/>
  <c r="L22" i="1"/>
  <c r="L7" i="1"/>
  <c r="L11" i="1"/>
  <c r="M6" i="1"/>
  <c r="L181" i="1"/>
  <c r="L189" i="1"/>
  <c r="L183" i="1"/>
  <c r="L164" i="1"/>
  <c r="H9" i="4" s="1"/>
  <c r="L30" i="1"/>
  <c r="A17" i="6"/>
  <c r="N225" i="1"/>
  <c r="N219" i="1"/>
  <c r="N224" i="1"/>
  <c r="N221" i="1"/>
  <c r="N223" i="1"/>
  <c r="O226" i="1"/>
  <c r="N220" i="1"/>
  <c r="N222" i="1"/>
  <c r="D8" i="9"/>
  <c r="D31" i="1"/>
  <c r="Q10" i="9"/>
  <c r="R10" i="9" s="1"/>
  <c r="K182" i="1"/>
  <c r="K184" i="1" s="1"/>
  <c r="K187" i="1"/>
  <c r="K188" i="1"/>
  <c r="M2" i="1"/>
  <c r="K23" i="1"/>
  <c r="G8" i="4" s="1"/>
  <c r="E26" i="1"/>
  <c r="K8" i="1"/>
  <c r="F26" i="1"/>
  <c r="K65" i="1" l="1"/>
  <c r="K160" i="1"/>
  <c r="M23" i="4"/>
  <c r="N23" i="4"/>
  <c r="E23" i="4"/>
  <c r="F23" i="4"/>
  <c r="G23" i="4"/>
  <c r="I23" i="4"/>
  <c r="J23" i="4"/>
  <c r="H23" i="4"/>
  <c r="L23" i="4"/>
  <c r="K23" i="4"/>
  <c r="N2" i="1"/>
  <c r="F24" i="6"/>
  <c r="K191" i="1"/>
  <c r="K193" i="1" s="1"/>
  <c r="E27" i="1"/>
  <c r="E28" i="1" s="1"/>
  <c r="A18" i="6"/>
  <c r="F27" i="1"/>
  <c r="F28" i="1" s="1"/>
  <c r="N6" i="1"/>
  <c r="M7" i="1"/>
  <c r="M21" i="1"/>
  <c r="M22" i="1"/>
  <c r="M11" i="1"/>
  <c r="D24" i="6"/>
  <c r="C24" i="6" s="1"/>
  <c r="F25" i="6" s="1"/>
  <c r="M189" i="1"/>
  <c r="M181" i="1"/>
  <c r="M183" i="1"/>
  <c r="M30" i="1"/>
  <c r="M164" i="1"/>
  <c r="I9" i="4" s="1"/>
  <c r="D7" i="9"/>
  <c r="D34" i="1"/>
  <c r="L182" i="1"/>
  <c r="L184" i="1" s="1"/>
  <c r="L187" i="1"/>
  <c r="L188" i="1"/>
  <c r="O224" i="1"/>
  <c r="O222" i="1"/>
  <c r="O221" i="1"/>
  <c r="O223" i="1"/>
  <c r="O225" i="1"/>
  <c r="O219" i="1"/>
  <c r="O220" i="1"/>
  <c r="P226" i="1"/>
  <c r="L8" i="1"/>
  <c r="K194" i="1" l="1"/>
  <c r="G10" i="4" s="1"/>
  <c r="F26" i="6"/>
  <c r="P222" i="1"/>
  <c r="P223" i="1"/>
  <c r="P224" i="1"/>
  <c r="P225" i="1"/>
  <c r="Q226" i="1"/>
  <c r="P221" i="1"/>
  <c r="P219" i="1"/>
  <c r="P220" i="1"/>
  <c r="M23" i="1"/>
  <c r="I8" i="4" s="1"/>
  <c r="O2" i="1"/>
  <c r="A19" i="6"/>
  <c r="L65" i="1"/>
  <c r="L160" i="1"/>
  <c r="E8" i="9"/>
  <c r="E31" i="1"/>
  <c r="L191" i="1"/>
  <c r="L193" i="1" s="1"/>
  <c r="G26" i="1"/>
  <c r="D6" i="9"/>
  <c r="D11" i="9" s="1"/>
  <c r="D48" i="1"/>
  <c r="D39" i="1" s="1"/>
  <c r="D40" i="1" s="1"/>
  <c r="D58" i="1" s="1"/>
  <c r="D64" i="1"/>
  <c r="D157" i="1"/>
  <c r="D37" i="1"/>
  <c r="D43" i="1" s="1"/>
  <c r="D46" i="1" s="1"/>
  <c r="D124" i="1"/>
  <c r="D156" i="1"/>
  <c r="M188" i="1"/>
  <c r="M182" i="1"/>
  <c r="M184" i="1" s="1"/>
  <c r="M193" i="1" s="1"/>
  <c r="M187" i="1"/>
  <c r="M191" i="1" s="1"/>
  <c r="M8" i="1"/>
  <c r="N11" i="1"/>
  <c r="D25" i="6"/>
  <c r="C25" i="6" s="1"/>
  <c r="O6" i="1"/>
  <c r="N21" i="1"/>
  <c r="N7" i="1"/>
  <c r="N22" i="1"/>
  <c r="N8" i="1"/>
  <c r="N30" i="1"/>
  <c r="N181" i="1"/>
  <c r="N189" i="1"/>
  <c r="N164" i="1"/>
  <c r="J9" i="4" s="1"/>
  <c r="N183" i="1"/>
  <c r="F8" i="9"/>
  <c r="F31" i="1"/>
  <c r="M194" i="1" l="1"/>
  <c r="I10" i="4" s="1"/>
  <c r="L194" i="1"/>
  <c r="H10" i="4" s="1"/>
  <c r="N65" i="1"/>
  <c r="N160" i="1"/>
  <c r="F7" i="9"/>
  <c r="F34" i="1"/>
  <c r="N23" i="1"/>
  <c r="J8" i="4" s="1"/>
  <c r="A20" i="6"/>
  <c r="Q221" i="1"/>
  <c r="Q222" i="1"/>
  <c r="Q225" i="1"/>
  <c r="Q219" i="1"/>
  <c r="R226" i="1"/>
  <c r="Q224" i="1"/>
  <c r="Q220" i="1"/>
  <c r="Q223" i="1"/>
  <c r="P2" i="1"/>
  <c r="O11" i="1"/>
  <c r="O22" i="1"/>
  <c r="D26" i="6"/>
  <c r="C26" i="6" s="1"/>
  <c r="F27" i="6" s="1"/>
  <c r="O21" i="1"/>
  <c r="O23" i="1" s="1"/>
  <c r="K8" i="4" s="1"/>
  <c r="O7" i="1"/>
  <c r="O181" i="1"/>
  <c r="P6" i="1"/>
  <c r="O189" i="1"/>
  <c r="O183" i="1"/>
  <c r="O30" i="1"/>
  <c r="O164" i="1"/>
  <c r="K9" i="4" s="1"/>
  <c r="M65" i="1"/>
  <c r="M160" i="1"/>
  <c r="H26" i="1"/>
  <c r="N188" i="1"/>
  <c r="N182" i="1"/>
  <c r="N184" i="1" s="1"/>
  <c r="N193" i="1" s="1"/>
  <c r="N187" i="1"/>
  <c r="N191" i="1" s="1"/>
  <c r="D158" i="1"/>
  <c r="E7" i="9"/>
  <c r="E34" i="1"/>
  <c r="G27" i="1"/>
  <c r="G28" i="1" s="1"/>
  <c r="N194" i="1" l="1"/>
  <c r="J10" i="4" s="1"/>
  <c r="P7" i="1"/>
  <c r="D27" i="6"/>
  <c r="C27" i="6" s="1"/>
  <c r="F28" i="6" s="1"/>
  <c r="Q6" i="1"/>
  <c r="P11" i="1"/>
  <c r="P22" i="1"/>
  <c r="P181" i="1"/>
  <c r="P189" i="1"/>
  <c r="P21" i="1"/>
  <c r="P23" i="1" s="1"/>
  <c r="L8" i="4" s="1"/>
  <c r="P183" i="1"/>
  <c r="P30" i="1"/>
  <c r="P164" i="1"/>
  <c r="L9" i="4" s="1"/>
  <c r="O188" i="1"/>
  <c r="O187" i="1"/>
  <c r="O191" i="1" s="1"/>
  <c r="O182" i="1"/>
  <c r="O184" i="1" s="1"/>
  <c r="O193" i="1" s="1"/>
  <c r="A21" i="6"/>
  <c r="I26" i="1"/>
  <c r="F6" i="9"/>
  <c r="F11" i="9" s="1"/>
  <c r="F37" i="1"/>
  <c r="F43" i="1" s="1"/>
  <c r="F46" i="1" s="1"/>
  <c r="F64" i="1"/>
  <c r="F48" i="1"/>
  <c r="F39" i="1" s="1"/>
  <c r="F40" i="1" s="1"/>
  <c r="F58" i="1" s="1"/>
  <c r="F59" i="1" s="1"/>
  <c r="F156" i="1"/>
  <c r="F157" i="1"/>
  <c r="F158" i="1" s="1"/>
  <c r="F124" i="1"/>
  <c r="G8" i="9"/>
  <c r="G31" i="1"/>
  <c r="O8" i="1"/>
  <c r="H27" i="1"/>
  <c r="H28" i="1" s="1"/>
  <c r="R219" i="1"/>
  <c r="R225" i="1"/>
  <c r="R220" i="1"/>
  <c r="R222" i="1"/>
  <c r="R224" i="1"/>
  <c r="R223" i="1"/>
  <c r="R221" i="1"/>
  <c r="E6" i="9"/>
  <c r="E11" i="9" s="1"/>
  <c r="E37" i="1"/>
  <c r="E43" i="1" s="1"/>
  <c r="E46" i="1" s="1"/>
  <c r="E48" i="1"/>
  <c r="E39" i="1" s="1"/>
  <c r="E40" i="1" s="1"/>
  <c r="E58" i="1" s="1"/>
  <c r="E59" i="1" s="1"/>
  <c r="E156" i="1"/>
  <c r="E157" i="1"/>
  <c r="E158" i="1" s="1"/>
  <c r="E64" i="1"/>
  <c r="E124" i="1"/>
  <c r="Q2" i="1"/>
  <c r="I12" i="1"/>
  <c r="O194" i="1" l="1"/>
  <c r="K10" i="4" s="1"/>
  <c r="O65" i="1"/>
  <c r="O160" i="1"/>
  <c r="I27" i="1"/>
  <c r="I13" i="1"/>
  <c r="I19" i="1" s="1"/>
  <c r="I24" i="1" s="1"/>
  <c r="I28" i="1" s="1"/>
  <c r="Q21" i="1"/>
  <c r="Q22" i="1"/>
  <c r="Q7" i="1"/>
  <c r="Q8" i="1"/>
  <c r="Q11" i="1"/>
  <c r="Q181" i="1"/>
  <c r="Q189" i="1"/>
  <c r="D28" i="6"/>
  <c r="C28" i="6" s="1"/>
  <c r="F29" i="6" s="1"/>
  <c r="R6" i="1"/>
  <c r="Q183" i="1"/>
  <c r="Q164" i="1"/>
  <c r="M9" i="4" s="1"/>
  <c r="Q30" i="1"/>
  <c r="G7" i="9"/>
  <c r="G34" i="1"/>
  <c r="P184" i="1"/>
  <c r="P182" i="1"/>
  <c r="P187" i="1"/>
  <c r="P188" i="1"/>
  <c r="R2" i="1"/>
  <c r="A22" i="6"/>
  <c r="H8" i="9"/>
  <c r="I8" i="9" s="1"/>
  <c r="J8" i="9" s="1"/>
  <c r="K8" i="9" s="1"/>
  <c r="L8" i="9" s="1"/>
  <c r="M8" i="9" s="1"/>
  <c r="N8" i="9" s="1"/>
  <c r="O8" i="9" s="1"/>
  <c r="P8" i="9" s="1"/>
  <c r="Q8" i="9" s="1"/>
  <c r="H31" i="1"/>
  <c r="P8" i="1"/>
  <c r="I31" i="1" l="1"/>
  <c r="Q160" i="1"/>
  <c r="Q65" i="1"/>
  <c r="A23" i="6"/>
  <c r="K26" i="1"/>
  <c r="L26" i="1"/>
  <c r="P160" i="1"/>
  <c r="P65" i="1"/>
  <c r="H7" i="9"/>
  <c r="H34" i="1"/>
  <c r="P191" i="1"/>
  <c r="P193" i="1" s="1"/>
  <c r="Q184" i="1"/>
  <c r="G6" i="9"/>
  <c r="G11" i="9" s="1"/>
  <c r="G37" i="1"/>
  <c r="G43" i="1" s="1"/>
  <c r="G46" i="1" s="1"/>
  <c r="G48" i="1"/>
  <c r="G39" i="1" s="1"/>
  <c r="G40" i="1" s="1"/>
  <c r="G58" i="1" s="1"/>
  <c r="G59" i="1" s="1"/>
  <c r="G124" i="1"/>
  <c r="G64" i="1"/>
  <c r="G156" i="1"/>
  <c r="G157" i="1"/>
  <c r="G158" i="1" s="1"/>
  <c r="Q182" i="1"/>
  <c r="Q187" i="1"/>
  <c r="Q188" i="1"/>
  <c r="Q23" i="1"/>
  <c r="M8" i="4" s="1"/>
  <c r="D29" i="6"/>
  <c r="C29" i="6" s="1"/>
  <c r="R21" i="1"/>
  <c r="R23" i="1" s="1"/>
  <c r="N8" i="4" s="1"/>
  <c r="R22" i="1"/>
  <c r="R7" i="1"/>
  <c r="R11" i="1"/>
  <c r="R181" i="1"/>
  <c r="R189" i="1"/>
  <c r="R8" i="1"/>
  <c r="R30" i="1"/>
  <c r="R164" i="1"/>
  <c r="N9" i="4" s="1"/>
  <c r="R183" i="1"/>
  <c r="K12" i="1"/>
  <c r="J12" i="1"/>
  <c r="L12" i="1"/>
  <c r="J26" i="1"/>
  <c r="P194" i="1" l="1"/>
  <c r="L10" i="4" s="1"/>
  <c r="J27" i="1"/>
  <c r="J13" i="1"/>
  <c r="J19" i="1" s="1"/>
  <c r="J24" i="1" s="1"/>
  <c r="J28" i="1" s="1"/>
  <c r="R160" i="1"/>
  <c r="R65" i="1"/>
  <c r="I7" i="9"/>
  <c r="H6" i="9"/>
  <c r="H11" i="9" s="1"/>
  <c r="H48" i="1"/>
  <c r="H64" i="1"/>
  <c r="H37" i="1"/>
  <c r="H43" i="1" s="1"/>
  <c r="H46" i="1" s="1"/>
  <c r="H124" i="1"/>
  <c r="K27" i="1"/>
  <c r="K13" i="1"/>
  <c r="K19" i="1" s="1"/>
  <c r="K24" i="1" s="1"/>
  <c r="K28" i="1" s="1"/>
  <c r="R182" i="1"/>
  <c r="R187" i="1"/>
  <c r="R191" i="1" s="1"/>
  <c r="R188" i="1"/>
  <c r="A24" i="6"/>
  <c r="M26" i="1"/>
  <c r="Q191" i="1"/>
  <c r="Q193" i="1" s="1"/>
  <c r="R184" i="1"/>
  <c r="R193" i="1" s="1"/>
  <c r="L27" i="1"/>
  <c r="L13" i="1"/>
  <c r="L19" i="1" s="1"/>
  <c r="L24" i="1" s="1"/>
  <c r="R194" i="1" l="1"/>
  <c r="N10" i="4" s="1"/>
  <c r="Q194" i="1"/>
  <c r="M10" i="4" s="1"/>
  <c r="I11" i="9"/>
  <c r="A25" i="6"/>
  <c r="M12" i="1"/>
  <c r="J31" i="1"/>
  <c r="K31" i="1"/>
  <c r="N26" i="1"/>
  <c r="I48" i="1"/>
  <c r="H39" i="1"/>
  <c r="H40" i="1" s="1"/>
  <c r="L28" i="1"/>
  <c r="J7" i="9"/>
  <c r="K7" i="9" l="1"/>
  <c r="M27" i="1"/>
  <c r="M13" i="1"/>
  <c r="M19" i="1" s="1"/>
  <c r="M24" i="1" s="1"/>
  <c r="M28" i="1" s="1"/>
  <c r="A26" i="6"/>
  <c r="J11" i="9"/>
  <c r="L31" i="1"/>
  <c r="D6" i="4"/>
  <c r="H58" i="1"/>
  <c r="N12" i="1"/>
  <c r="I33" i="1"/>
  <c r="I34" i="1" s="1"/>
  <c r="J48" i="1"/>
  <c r="O26" i="1"/>
  <c r="J33" i="1" l="1"/>
  <c r="J34" i="1" s="1"/>
  <c r="K48" i="1"/>
  <c r="J39" i="1"/>
  <c r="A27" i="6"/>
  <c r="M31" i="1"/>
  <c r="I37" i="1"/>
  <c r="I43" i="1"/>
  <c r="I46" i="1" s="1"/>
  <c r="D7" i="4"/>
  <c r="D11" i="4"/>
  <c r="N27" i="1"/>
  <c r="N13" i="1"/>
  <c r="N19" i="1" s="1"/>
  <c r="N24" i="1" s="1"/>
  <c r="N28" i="1" s="1"/>
  <c r="I58" i="1"/>
  <c r="H59" i="1"/>
  <c r="K11" i="9"/>
  <c r="L7" i="9"/>
  <c r="J58" i="1" l="1"/>
  <c r="I40" i="1"/>
  <c r="E6" i="4" s="1"/>
  <c r="K33" i="1"/>
  <c r="K34" i="1" s="1"/>
  <c r="L48" i="1"/>
  <c r="K39" i="1"/>
  <c r="N31" i="1"/>
  <c r="A28" i="6"/>
  <c r="P12" i="1"/>
  <c r="L11" i="9"/>
  <c r="M7" i="9"/>
  <c r="N7" i="9"/>
  <c r="N11" i="9" s="1"/>
  <c r="O7" i="9"/>
  <c r="O11" i="9" s="1"/>
  <c r="J43" i="1"/>
  <c r="J37" i="1"/>
  <c r="K37" i="1" l="1"/>
  <c r="K43" i="1"/>
  <c r="L33" i="1"/>
  <c r="L34" i="1" s="1"/>
  <c r="M48" i="1"/>
  <c r="L39" i="1"/>
  <c r="K58" i="1"/>
  <c r="J40" i="1"/>
  <c r="F6" i="4" s="1"/>
  <c r="E7" i="4"/>
  <c r="E11" i="4" s="1"/>
  <c r="E25" i="4" s="1"/>
  <c r="P7" i="9"/>
  <c r="P11" i="9" s="1"/>
  <c r="M11" i="9"/>
  <c r="Q7" i="9"/>
  <c r="Q11" i="9" s="1"/>
  <c r="P13" i="1"/>
  <c r="P19" i="1" s="1"/>
  <c r="P24" i="1" s="1"/>
  <c r="A29" i="6"/>
  <c r="Q26" i="1"/>
  <c r="Q12" i="1" l="1"/>
  <c r="O12" i="1"/>
  <c r="P26" i="1"/>
  <c r="R12" i="1"/>
  <c r="F7" i="4"/>
  <c r="F11" i="4" s="1"/>
  <c r="F25" i="4" s="1"/>
  <c r="L58" i="1"/>
  <c r="K40" i="1"/>
  <c r="G6" i="4" s="1"/>
  <c r="M33" i="1"/>
  <c r="M34" i="1" s="1"/>
  <c r="N48" i="1"/>
  <c r="M39" i="1"/>
  <c r="R7" i="9"/>
  <c r="R11" i="9" s="1"/>
  <c r="L43" i="1"/>
  <c r="L37" i="1"/>
  <c r="R26" i="1"/>
  <c r="M58" i="1" l="1"/>
  <c r="L40" i="1"/>
  <c r="H6" i="4" s="1"/>
  <c r="P27" i="1"/>
  <c r="P28" i="1" s="1"/>
  <c r="R27" i="1"/>
  <c r="R13" i="1"/>
  <c r="R19" i="1" s="1"/>
  <c r="R24" i="1" s="1"/>
  <c r="R28" i="1" s="1"/>
  <c r="O27" i="1"/>
  <c r="O39" i="1"/>
  <c r="O13" i="1"/>
  <c r="O19" i="1" s="1"/>
  <c r="O24" i="1" s="1"/>
  <c r="G7" i="4"/>
  <c r="G11" i="4" s="1"/>
  <c r="G25" i="4" s="1"/>
  <c r="Q27" i="1"/>
  <c r="Q13" i="1"/>
  <c r="Q19" i="1" s="1"/>
  <c r="Q24" i="1" s="1"/>
  <c r="Q28" i="1" s="1"/>
  <c r="N33" i="1"/>
  <c r="N34" i="1" s="1"/>
  <c r="O48" i="1"/>
  <c r="N39" i="1"/>
  <c r="M37" i="1"/>
  <c r="M43" i="1"/>
  <c r="P48" i="1" l="1"/>
  <c r="N43" i="1"/>
  <c r="N37" i="1"/>
  <c r="H7" i="4"/>
  <c r="H11" i="4" s="1"/>
  <c r="H25" i="4" s="1"/>
  <c r="P31" i="1"/>
  <c r="N58" i="1"/>
  <c r="M40" i="1"/>
  <c r="I6" i="4" s="1"/>
  <c r="R31" i="1"/>
  <c r="Q31" i="1"/>
  <c r="O28" i="1"/>
  <c r="I7" i="4" l="1"/>
  <c r="I11" i="4" s="1"/>
  <c r="I25" i="4" s="1"/>
  <c r="O58" i="1"/>
  <c r="N40" i="1"/>
  <c r="J6" i="4" s="1"/>
  <c r="O31" i="1"/>
  <c r="P33" i="1"/>
  <c r="Q48" i="1"/>
  <c r="P39" i="1"/>
  <c r="P34" i="1"/>
  <c r="O33" i="1" l="1"/>
  <c r="O34" i="1" s="1"/>
  <c r="J7" i="4"/>
  <c r="J11" i="4" s="1"/>
  <c r="J25" i="4" s="1"/>
  <c r="P43" i="1"/>
  <c r="P37" i="1"/>
  <c r="P58" i="1"/>
  <c r="O40" i="1"/>
  <c r="K6" i="4" s="1"/>
  <c r="Q33" i="1"/>
  <c r="Q34" i="1" s="1"/>
  <c r="R48" i="1"/>
  <c r="Q39" i="1"/>
  <c r="O43" i="1" l="1"/>
  <c r="O37" i="1"/>
  <c r="Q58" i="1"/>
  <c r="P40" i="1"/>
  <c r="L6" i="4" s="1"/>
  <c r="Q37" i="1"/>
  <c r="Q43" i="1"/>
  <c r="K7" i="4"/>
  <c r="K11" i="4"/>
  <c r="K25" i="4" s="1"/>
  <c r="R33" i="1"/>
  <c r="R34" i="1" s="1"/>
  <c r="R39" i="1"/>
  <c r="R58" i="1" l="1"/>
  <c r="R40" i="1" s="1"/>
  <c r="N6" i="4" s="1"/>
  <c r="Q40" i="1"/>
  <c r="M6" i="4" s="1"/>
  <c r="L7" i="4"/>
  <c r="L11" i="4" s="1"/>
  <c r="L25" i="4" s="1"/>
  <c r="R43" i="1"/>
  <c r="R37" i="1"/>
  <c r="M7" i="4" l="1"/>
  <c r="M11" i="4"/>
  <c r="M25" i="4" s="1"/>
  <c r="N7" i="4"/>
  <c r="N11" i="4" s="1"/>
  <c r="D16" i="4" l="1"/>
  <c r="D17" i="4" s="1"/>
  <c r="N25" i="4"/>
  <c r="E27" i="4" l="1"/>
  <c r="E30" i="4" s="1"/>
  <c r="E32" i="4" s="1"/>
  <c r="E51" i="4" s="1"/>
  <c r="E35" i="4" l="1"/>
</calcChain>
</file>

<file path=xl/sharedStrings.xml><?xml version="1.0" encoding="utf-8"?>
<sst xmlns="http://schemas.openxmlformats.org/spreadsheetml/2006/main" count="524" uniqueCount="374">
  <si>
    <t>FYE ending December 31</t>
  </si>
  <si>
    <t>Net Sales</t>
  </si>
  <si>
    <t>Cost of products sold</t>
  </si>
  <si>
    <t>Selling &amp; administrative expense</t>
  </si>
  <si>
    <t>R&amp;D Expense</t>
  </si>
  <si>
    <t>Interest Expense (net)</t>
  </si>
  <si>
    <t>Gain on sale of business</t>
  </si>
  <si>
    <t>Income tax expense</t>
  </si>
  <si>
    <t>Less net income for noncontrolling interests</t>
  </si>
  <si>
    <t>Gross Profit</t>
  </si>
  <si>
    <t>Operating Profit</t>
  </si>
  <si>
    <t>EBIT</t>
  </si>
  <si>
    <t xml:space="preserve">  Assets</t>
  </si>
  <si>
    <t>Income Statement</t>
  </si>
  <si>
    <t>Balance Sheet</t>
  </si>
  <si>
    <t>Non-Current Assets</t>
  </si>
  <si>
    <t>Land &amp; Buildings</t>
  </si>
  <si>
    <t>Machinery &amp; Equipment</t>
  </si>
  <si>
    <t>Gross PP&amp;E</t>
  </si>
  <si>
    <t>less: Accumulated Depreciation</t>
  </si>
  <si>
    <t>Net PP&amp;E</t>
  </si>
  <si>
    <t>Goodwill</t>
  </si>
  <si>
    <t>Other Intangible</t>
  </si>
  <si>
    <t>Operating Lease Asset</t>
  </si>
  <si>
    <t>Deferred Income Taxes</t>
  </si>
  <si>
    <t>Other Assets</t>
  </si>
  <si>
    <t>Current Assets</t>
  </si>
  <si>
    <t>Total Non-Current Assets</t>
  </si>
  <si>
    <t>Cash &amp; Equivalents</t>
  </si>
  <si>
    <t>AccountsReceivable</t>
  </si>
  <si>
    <t>Inventories</t>
  </si>
  <si>
    <t>Prepaid Expenses &amp; Other Current Assets</t>
  </si>
  <si>
    <t>Total Current Assets</t>
  </si>
  <si>
    <t>Total Assets</t>
  </si>
  <si>
    <t>Liabilities &amp; Equity</t>
  </si>
  <si>
    <t>Equity</t>
  </si>
  <si>
    <t>Ordinary Shares</t>
  </si>
  <si>
    <t>Capital in excess of Par Value</t>
  </si>
  <si>
    <t>Retained Earnings</t>
  </si>
  <si>
    <t>Accumulated Other Comprehensive Loss</t>
  </si>
  <si>
    <t>Shares held in trust</t>
  </si>
  <si>
    <t>Minority Interest</t>
  </si>
  <si>
    <t>Total Shareholder's Equity</t>
  </si>
  <si>
    <t>Non-Current Liabilities</t>
  </si>
  <si>
    <t>Long-Term Debt</t>
  </si>
  <si>
    <t>Pension Liabilities</t>
  </si>
  <si>
    <t>Other Post Retirement</t>
  </si>
  <si>
    <t>Deferred income Tax Liability</t>
  </si>
  <si>
    <t>Other Non-Current Liability</t>
  </si>
  <si>
    <t>Opearting Lease Liability</t>
  </si>
  <si>
    <t>Total Non-Current Liability</t>
  </si>
  <si>
    <t>Current Liabilities</t>
  </si>
  <si>
    <t>Short-Term Debt</t>
  </si>
  <si>
    <t>Accounts Payable</t>
  </si>
  <si>
    <t>Accrued Expenses</t>
  </si>
  <si>
    <t>Current Portion of Long-Term Debt</t>
  </si>
  <si>
    <t>Other Current Liabilities</t>
  </si>
  <si>
    <t>Total Current Liability</t>
  </si>
  <si>
    <t>Total Liabilities</t>
  </si>
  <si>
    <t>Total Equity &amp; Liabilities</t>
  </si>
  <si>
    <t>Balance Check</t>
  </si>
  <si>
    <t>Cash Flow Statement</t>
  </si>
  <si>
    <t>Net Income</t>
  </si>
  <si>
    <t>Operating Expenses</t>
  </si>
  <si>
    <t>Depreciation &amp; Amortization Expense</t>
  </si>
  <si>
    <t>Amortization</t>
  </si>
  <si>
    <t>Depreciation</t>
  </si>
  <si>
    <t>EBITDA</t>
  </si>
  <si>
    <t>Restructuring Charges</t>
  </si>
  <si>
    <t>Other Income (expense) - net</t>
  </si>
  <si>
    <t xml:space="preserve">    Depreciation &amp; Amortization</t>
  </si>
  <si>
    <t xml:space="preserve">    Deferred Income Taxes</t>
  </si>
  <si>
    <t xml:space="preserve">    Changes in Working Capital</t>
  </si>
  <si>
    <t xml:space="preserve">      Accounts Receivable</t>
  </si>
  <si>
    <t xml:space="preserve">      Inventory</t>
  </si>
  <si>
    <t xml:space="preserve">      Accounts Payable</t>
  </si>
  <si>
    <t xml:space="preserve">      Income Taxes Payable or Receivable</t>
  </si>
  <si>
    <t xml:space="preserve">      Other - Net</t>
  </si>
  <si>
    <t xml:space="preserve">      Other Current Assets</t>
  </si>
  <si>
    <t xml:space="preserve">  Cash Flow from Operations</t>
  </si>
  <si>
    <t xml:space="preserve">  </t>
  </si>
  <si>
    <t xml:space="preserve">  Cash from Investing Activities</t>
  </si>
  <si>
    <t xml:space="preserve">    Acquisitions &amp; Divestitures</t>
  </si>
  <si>
    <t xml:space="preserve">    Capital Expenditures</t>
  </si>
  <si>
    <t xml:space="preserve">    Proceeds from divestitures</t>
  </si>
  <si>
    <t xml:space="preserve">    Sales (Purchases) of Short-Term Investments</t>
  </si>
  <si>
    <t xml:space="preserve">    Other Investing Activites</t>
  </si>
  <si>
    <t xml:space="preserve">  Cash Flow from Investing</t>
  </si>
  <si>
    <t xml:space="preserve">  Cash from Financing Activites</t>
  </si>
  <si>
    <t xml:space="preserve">    Dividends Paid</t>
  </si>
  <si>
    <t xml:space="preserve">    Change in Debt</t>
  </si>
  <si>
    <t xml:space="preserve">      Debt Issuance</t>
  </si>
  <si>
    <t xml:space="preserve">      Debt Repayments</t>
  </si>
  <si>
    <t xml:space="preserve">    Repurchase of Common Stock</t>
  </si>
  <si>
    <t xml:space="preserve">    Increase in Capital Stock</t>
  </si>
  <si>
    <t xml:space="preserve">  Cash Flow from Financing</t>
  </si>
  <si>
    <t>Acquisition &amp; Divestiture Charges</t>
  </si>
  <si>
    <t>Effective Tax Rate</t>
  </si>
  <si>
    <t>R&amp;D Capitalization Worksheet</t>
  </si>
  <si>
    <t>Year</t>
  </si>
  <si>
    <t>Expense</t>
  </si>
  <si>
    <t>t</t>
  </si>
  <si>
    <t>Amortization expense for R&amp;D</t>
  </si>
  <si>
    <t>Adjusted EBIT</t>
  </si>
  <si>
    <t>Adjustement amount for R&amp;D</t>
  </si>
  <si>
    <t>Adjusted PBT</t>
  </si>
  <si>
    <t>Adjusted Net income</t>
  </si>
  <si>
    <t>Adjusted Net income attributables to ETN</t>
  </si>
  <si>
    <t>R&amp;D Expense as % of Revenue</t>
  </si>
  <si>
    <t>Revenue Growth</t>
  </si>
  <si>
    <t>R&amp;D as %Sales</t>
  </si>
  <si>
    <t>Revenue</t>
  </si>
  <si>
    <t>Amortized R&amp;D</t>
  </si>
  <si>
    <t>Normalized EBIT</t>
  </si>
  <si>
    <t>Weighted Average Cost of Capital</t>
  </si>
  <si>
    <t>Cost of Equtiy</t>
  </si>
  <si>
    <t>Cost of Debt</t>
  </si>
  <si>
    <t>A-</t>
  </si>
  <si>
    <t>YTM</t>
  </si>
  <si>
    <t>Dividend Payout Ratio</t>
  </si>
  <si>
    <t>ROE</t>
  </si>
  <si>
    <t>Sustainable Growth Rate</t>
  </si>
  <si>
    <t>Actual vs Sustainable</t>
  </si>
  <si>
    <t>Forecasted Revenue Growth</t>
  </si>
  <si>
    <t>Risk Free Rate</t>
  </si>
  <si>
    <t>Maturity</t>
  </si>
  <si>
    <t>Price</t>
  </si>
  <si>
    <t>Total Market Value of Bonds</t>
  </si>
  <si>
    <t>Mkt. Value (mn.)</t>
  </si>
  <si>
    <t>O/S Amt. (mn.)</t>
  </si>
  <si>
    <t>Bonds</t>
  </si>
  <si>
    <t>Un-registered Bond</t>
  </si>
  <si>
    <t>Time to Maturity</t>
  </si>
  <si>
    <t>Price as %</t>
  </si>
  <si>
    <t>Coupon</t>
  </si>
  <si>
    <t>Avg. Corporate Default Spread (bps)</t>
  </si>
  <si>
    <t>&gt;</t>
  </si>
  <si>
    <t>≤ to</t>
  </si>
  <si>
    <t>Rating is</t>
  </si>
  <si>
    <t>Spread is</t>
  </si>
  <si>
    <t>D2/D</t>
  </si>
  <si>
    <t>C2/C</t>
  </si>
  <si>
    <t>Ca2/CC</t>
  </si>
  <si>
    <t>Caa/CCC</t>
  </si>
  <si>
    <t>B3/B-</t>
  </si>
  <si>
    <t>B2/B</t>
  </si>
  <si>
    <t>B1/B+</t>
  </si>
  <si>
    <t>Ba2/BB</t>
  </si>
  <si>
    <t>Ba1/BB+</t>
  </si>
  <si>
    <t>Baa2/BBB</t>
  </si>
  <si>
    <t>A3/A-</t>
  </si>
  <si>
    <t>A2/A</t>
  </si>
  <si>
    <t>A1/A+</t>
  </si>
  <si>
    <t>Aa2/AA</t>
  </si>
  <si>
    <t>Aaa/AAA</t>
  </si>
  <si>
    <t>Synthetic Credit Rating Matrix</t>
  </si>
  <si>
    <t>(Range of Interest Coverage Ratio)</t>
  </si>
  <si>
    <t>Lease Liability</t>
  </si>
  <si>
    <t>Tax Benefit for R&amp;D Expense</t>
  </si>
  <si>
    <t>S&amp;P Long-Term issuer rating</t>
  </si>
  <si>
    <t>Kd using Default Spread</t>
  </si>
  <si>
    <t>Swiss CDS (bps)</t>
  </si>
  <si>
    <t>US CDS (bps)</t>
  </si>
  <si>
    <t>Amount</t>
  </si>
  <si>
    <t>PV</t>
  </si>
  <si>
    <t>Total Lease Liabiltiy</t>
  </si>
  <si>
    <t>Years Implied</t>
  </si>
  <si>
    <t>Terminal Amount</t>
  </si>
  <si>
    <t>Capital Structure</t>
  </si>
  <si>
    <t>Market Cap</t>
  </si>
  <si>
    <t>Mkt Value Debt</t>
  </si>
  <si>
    <t>Total</t>
  </si>
  <si>
    <t>US 10yr Govt. Yield</t>
  </si>
  <si>
    <t>US DS net of Swiss</t>
  </si>
  <si>
    <t>Beta Calculation</t>
  </si>
  <si>
    <t>Co Name</t>
  </si>
  <si>
    <t>BV Debt</t>
  </si>
  <si>
    <t>BV Equity</t>
  </si>
  <si>
    <t>D/E</t>
  </si>
  <si>
    <t>Reg. Beta</t>
  </si>
  <si>
    <t>Unlevered Beta</t>
  </si>
  <si>
    <t>General Electric</t>
  </si>
  <si>
    <t>Aerospace</t>
  </si>
  <si>
    <t>Aerospace Segment</t>
  </si>
  <si>
    <t>Boeing Co.</t>
  </si>
  <si>
    <t>Average Aerospace Peers Unlevered Beta</t>
  </si>
  <si>
    <t>Electrical Segment</t>
  </si>
  <si>
    <t>Mobility Segment</t>
  </si>
  <si>
    <t>GE Vernova</t>
  </si>
  <si>
    <t>ABB Ltd</t>
  </si>
  <si>
    <t>Schneider Electric</t>
  </si>
  <si>
    <t>Siemens Energy</t>
  </si>
  <si>
    <t>Average Electrical Peers Unlevered Beta</t>
  </si>
  <si>
    <t>Average Mobility Peers Unlevered Beta</t>
  </si>
  <si>
    <t>Airbus</t>
  </si>
  <si>
    <t>Rolls-Royce</t>
  </si>
  <si>
    <t>Cummins Inc</t>
  </si>
  <si>
    <t>Volvo</t>
  </si>
  <si>
    <t>Paccar Inc</t>
  </si>
  <si>
    <t>HD Hyundai</t>
  </si>
  <si>
    <t>Co. Segment Details</t>
  </si>
  <si>
    <t>Electrical</t>
  </si>
  <si>
    <t>Mobility</t>
  </si>
  <si>
    <t>Segment</t>
  </si>
  <si>
    <t>% Revenue</t>
  </si>
  <si>
    <t>Peers Unlevered Beta</t>
  </si>
  <si>
    <t>Co. Beta Calculation</t>
  </si>
  <si>
    <t>BV Equtiy</t>
  </si>
  <si>
    <t>Levered Beta</t>
  </si>
  <si>
    <t>Marginal Tax Rate</t>
  </si>
  <si>
    <t>Beta</t>
  </si>
  <si>
    <t>Cost of Equity</t>
  </si>
  <si>
    <t>WACC</t>
  </si>
  <si>
    <t>Cost</t>
  </si>
  <si>
    <t>Weight</t>
  </si>
  <si>
    <t>Equity Capital</t>
  </si>
  <si>
    <t>Debt Capital</t>
  </si>
  <si>
    <t>For Weighted ERP &amp; CRP Calculation</t>
  </si>
  <si>
    <t>Region</t>
  </si>
  <si>
    <t>US</t>
  </si>
  <si>
    <t>Canda</t>
  </si>
  <si>
    <t>Latin America</t>
  </si>
  <si>
    <t>Europe</t>
  </si>
  <si>
    <t>Asia Pacific</t>
  </si>
  <si>
    <t>ERP</t>
  </si>
  <si>
    <t>CRP</t>
  </si>
  <si>
    <t>ERP_w</t>
  </si>
  <si>
    <t>CRP_w</t>
  </si>
  <si>
    <t>Weighted ERP</t>
  </si>
  <si>
    <t>Multiples/Ratios</t>
  </si>
  <si>
    <t>Cash Dividend Payout Ratio</t>
  </si>
  <si>
    <t>Actual Growth Rate</t>
  </si>
  <si>
    <t>Discounted Cash Flow</t>
  </si>
  <si>
    <t>EBIT Margin %</t>
  </si>
  <si>
    <t>EBIT Improvement</t>
  </si>
  <si>
    <t>NOPAT</t>
  </si>
  <si>
    <t>add: Depreciation &amp; Amortization</t>
  </si>
  <si>
    <t>Depreciation as % of Revenue</t>
  </si>
  <si>
    <t>Amortization as % of Revenue</t>
  </si>
  <si>
    <t>less: Capex</t>
  </si>
  <si>
    <t>Capex as % of Revenue</t>
  </si>
  <si>
    <t>Capex</t>
  </si>
  <si>
    <t>less: Change in NWC</t>
  </si>
  <si>
    <t>Non-Cash Working Capital</t>
  </si>
  <si>
    <t>Change in Non-Cash Working Capital</t>
  </si>
  <si>
    <t>Account Receivable Turnover Ratio</t>
  </si>
  <si>
    <t>Prepaid Expenses as % of Revenue</t>
  </si>
  <si>
    <t>Inventories Turnover Ratio</t>
  </si>
  <si>
    <r>
      <rPr>
        <b/>
        <i/>
        <sz val="11"/>
        <rFont val="Arial"/>
        <family val="2"/>
      </rPr>
      <t>for:</t>
    </r>
    <r>
      <rPr>
        <b/>
        <sz val="11"/>
        <rFont val="Arial"/>
        <family val="2"/>
      </rPr>
      <t xml:space="preserve"> Current Asset</t>
    </r>
  </si>
  <si>
    <r>
      <rPr>
        <b/>
        <i/>
        <sz val="11"/>
        <rFont val="Arial"/>
        <family val="2"/>
      </rPr>
      <t>for:</t>
    </r>
    <r>
      <rPr>
        <b/>
        <sz val="11"/>
        <rFont val="Arial"/>
        <family val="2"/>
      </rPr>
      <t xml:space="preserve"> Current Liabilities</t>
    </r>
  </si>
  <si>
    <t>Accounts Payable Turnover Ratio</t>
  </si>
  <si>
    <t>Short-Term Debt as % of Revenue</t>
  </si>
  <si>
    <t>Long-Term Debt as % of Revenue</t>
  </si>
  <si>
    <t>Working Capital Ratios</t>
  </si>
  <si>
    <t>Forecasted Working Capital</t>
  </si>
  <si>
    <t>Account Receivable</t>
  </si>
  <si>
    <t>Prepaid Expenses</t>
  </si>
  <si>
    <t>Accrual Expenses</t>
  </si>
  <si>
    <t>Other Currnet Liabilities as % of Revenue</t>
  </si>
  <si>
    <t>COGS as % of Revenue</t>
  </si>
  <si>
    <t>Total Non-Cash Current Assets</t>
  </si>
  <si>
    <t>Accrual Expenses as % of COGS</t>
  </si>
  <si>
    <t>Total Current Liabilities</t>
  </si>
  <si>
    <t>Free Cash Flow to Firm</t>
  </si>
  <si>
    <t>Terminal Value</t>
  </si>
  <si>
    <t>PV of Terminal Value</t>
  </si>
  <si>
    <t>Valuation Date</t>
  </si>
  <si>
    <t>Fiscal Year End Date</t>
  </si>
  <si>
    <t>Year Frac</t>
  </si>
  <si>
    <t>Present Value Factor</t>
  </si>
  <si>
    <t>PV of FCFF</t>
  </si>
  <si>
    <t>Enterprise Value</t>
  </si>
  <si>
    <t>less: Debt</t>
  </si>
  <si>
    <t>add: Cash &amp; Equivalents</t>
  </si>
  <si>
    <t>Equity Value</t>
  </si>
  <si>
    <t>Upside Potential</t>
  </si>
  <si>
    <t>Selling &amp; General Administrative as % of Revenue</t>
  </si>
  <si>
    <t>RSUs/RSAs</t>
  </si>
  <si>
    <t>PSUs</t>
  </si>
  <si>
    <t>Stock Options</t>
  </si>
  <si>
    <t>Trading Comparables Multiples Method</t>
  </si>
  <si>
    <t>Comparable Peers</t>
  </si>
  <si>
    <t>Shares O/S</t>
  </si>
  <si>
    <t>Market Cap.</t>
  </si>
  <si>
    <t>CMP</t>
  </si>
  <si>
    <t>Ticker</t>
  </si>
  <si>
    <t>Market Data</t>
  </si>
  <si>
    <t>EV/Sales</t>
  </si>
  <si>
    <t>EV/EBITDA</t>
  </si>
  <si>
    <t>EV/EBIT</t>
  </si>
  <si>
    <t>PE</t>
  </si>
  <si>
    <t>PB</t>
  </si>
  <si>
    <t>Trading Multiples</t>
  </si>
  <si>
    <t>GE</t>
  </si>
  <si>
    <t>PS</t>
  </si>
  <si>
    <t>AIR FP</t>
  </si>
  <si>
    <t>Financial Data (LTM)</t>
  </si>
  <si>
    <t>RR/LN</t>
  </si>
  <si>
    <t>GEV</t>
  </si>
  <si>
    <t>ABBN SW</t>
  </si>
  <si>
    <t>SU FP</t>
  </si>
  <si>
    <t>ENR GY</t>
  </si>
  <si>
    <t>CMI</t>
  </si>
  <si>
    <t>VOLVB SS</t>
  </si>
  <si>
    <t>PCAR</t>
  </si>
  <si>
    <t>005380 KS</t>
  </si>
  <si>
    <t>EPS</t>
  </si>
  <si>
    <t>BVPS</t>
  </si>
  <si>
    <t>Median</t>
  </si>
  <si>
    <t>Average</t>
  </si>
  <si>
    <t>Eaton Corp</t>
  </si>
  <si>
    <t>ETN</t>
  </si>
  <si>
    <t>Relative Valuation</t>
  </si>
  <si>
    <t>Implied Median Share Price</t>
  </si>
  <si>
    <t>Implied Average Share Price</t>
  </si>
  <si>
    <t>Total Debt</t>
  </si>
  <si>
    <t>Cash &amp; Equivalent</t>
  </si>
  <si>
    <t>Weighted Average</t>
  </si>
  <si>
    <t>Gap</t>
  </si>
  <si>
    <t>DCF</t>
  </si>
  <si>
    <t>Howmet Aerospace</t>
  </si>
  <si>
    <t>HWM</t>
  </si>
  <si>
    <t>Low</t>
  </si>
  <si>
    <t>Minimum</t>
  </si>
  <si>
    <t>Maximum</t>
  </si>
  <si>
    <t>Implied Minimum Share Price</t>
  </si>
  <si>
    <t>Implied Maximum Share Price</t>
  </si>
  <si>
    <t>D</t>
  </si>
  <si>
    <t>Total Shares Outstanding</t>
  </si>
  <si>
    <t>Total Shares Outstanding Calculation</t>
  </si>
  <si>
    <t>Common Shares O/S</t>
  </si>
  <si>
    <t>Preferred Shares</t>
  </si>
  <si>
    <t>Deferred Common O/S</t>
  </si>
  <si>
    <t>Tresuary Stock Method</t>
  </si>
  <si>
    <t>Weighted Avg. Exercise Price</t>
  </si>
  <si>
    <t>Current Market Price</t>
  </si>
  <si>
    <t>Amount Received from Exercise</t>
  </si>
  <si>
    <t>Shares Repurchased</t>
  </si>
  <si>
    <t>Total Shares</t>
  </si>
  <si>
    <t>Number of Share Issued</t>
  </si>
  <si>
    <t>Net Stock Options Issued</t>
  </si>
  <si>
    <t>Implied per Share Price</t>
  </si>
  <si>
    <t>Sensitivity Analysis</t>
  </si>
  <si>
    <t>Terminal Growth Rate</t>
  </si>
  <si>
    <t>Upside/Downside Potential</t>
  </si>
  <si>
    <t>Year-end Share Price</t>
  </si>
  <si>
    <t>Net Income Margin</t>
  </si>
  <si>
    <t>Dupont Analysis</t>
  </si>
  <si>
    <t>EBIT Margin</t>
  </si>
  <si>
    <t>Asset Turnover</t>
  </si>
  <si>
    <t>Financial Leverage</t>
  </si>
  <si>
    <t>Return on Equity</t>
  </si>
  <si>
    <t>Tax Burden (NI/EBT)</t>
  </si>
  <si>
    <t>Interest Burden (EBT/EBIT)</t>
  </si>
  <si>
    <t>Segment Data</t>
  </si>
  <si>
    <t>Electrical Americas</t>
  </si>
  <si>
    <t>Electrical Global</t>
  </si>
  <si>
    <t>Hydraulics</t>
  </si>
  <si>
    <t>Vehicle</t>
  </si>
  <si>
    <t>Total Revenue</t>
  </si>
  <si>
    <t>Segment Revenue Growth</t>
  </si>
  <si>
    <t>Segment wise Capex</t>
  </si>
  <si>
    <t>Total Capex</t>
  </si>
  <si>
    <t>eMobility</t>
  </si>
  <si>
    <t>Segment wise Capex Growth</t>
  </si>
  <si>
    <t>Corporate</t>
  </si>
  <si>
    <t>Segment Capex as % of Total Capex</t>
  </si>
  <si>
    <t>Revenue to Capex Expense</t>
  </si>
  <si>
    <t>Gross Margin</t>
  </si>
  <si>
    <t>Interest Expense as % of Revenue</t>
  </si>
  <si>
    <t xml:space="preserve">   </t>
  </si>
  <si>
    <t>YTM for on-the-run 10 year Bond</t>
  </si>
  <si>
    <t>Pre-Tax Average Kd</t>
  </si>
  <si>
    <t>Post-Tax Average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</si>
</sst>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#,##0;\(#,##0\)"/>
    <numFmt numFmtId="165" formatCode="0&quot;E&quot;"/>
    <numFmt numFmtId="166" formatCode="0.0%"/>
    <numFmt numFmtId="167" formatCode="_-* #,##0_-;\-* #,##0_-;_-* &quot;-&quot;??_-;_-@_-"/>
    <numFmt numFmtId="168" formatCode="0.0000"/>
    <numFmt numFmtId="169" formatCode="_-* #,##0.0000_-;\-* #,##0.0000_-;_-* &quot;-&quot;??_-;_-@_-"/>
    <numFmt numFmtId="170" formatCode="0&quot;G&quot;"/>
    <numFmt numFmtId="171" formatCode="dd/mm/yy;@"/>
    <numFmt numFmtId="172" formatCode="#,##0.00;\(#,##0.00\)"/>
    <numFmt numFmtId="173" formatCode="#,##0.0;\(#,##0.0\)"/>
    <numFmt numFmtId="175" formatCode="#,##0.0000;[Red]\-#,##0.0000"/>
    <numFmt numFmtId="176" formatCode="#,##0.00000;[Red]\-#,##0.00000"/>
    <numFmt numFmtId="177" formatCode="0.000000"/>
  </numFmts>
  <fonts count="22" x14ac:knownFonts="1">
    <font>
      <sz val="11"/>
      <color theme="1"/>
      <name val="Calibri"/>
      <family val="2"/>
      <scheme val="minor"/>
    </font>
    <font>
      <sz val="10"/>
      <color indexed="63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  <font>
      <sz val="11"/>
      <color rgb="FF0000CC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sz val="11"/>
      <color rgb="FF000000"/>
      <name val="Arial"/>
      <family val="2"/>
    </font>
    <font>
      <b/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1"/>
      <color theme="1"/>
      <name val="Arial"/>
      <family val="2"/>
    </font>
    <font>
      <i/>
      <sz val="11"/>
      <color rgb="FF0000CC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FEFE2"/>
      </left>
      <right style="medium">
        <color rgb="FFDEDFDE"/>
      </right>
      <top style="medium">
        <color rgb="FFDEDFDE"/>
      </top>
      <bottom style="medium">
        <color rgb="FFDEDFDE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1"/>
    <xf numFmtId="4" fontId="2" fillId="2" borderId="2">
      <alignment horizontal="right"/>
    </xf>
    <xf numFmtId="4" fontId="2" fillId="2" borderId="2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60">
    <xf numFmtId="0" fontId="0" fillId="0" borderId="0" xfId="0"/>
    <xf numFmtId="0" fontId="3" fillId="0" borderId="0" xfId="0" applyFont="1"/>
    <xf numFmtId="40" fontId="3" fillId="0" borderId="0" xfId="0" applyNumberFormat="1" applyFont="1"/>
    <xf numFmtId="0" fontId="4" fillId="0" borderId="0" xfId="0" applyFont="1"/>
    <xf numFmtId="38" fontId="3" fillId="0" borderId="0" xfId="0" applyNumberFormat="1" applyFont="1"/>
    <xf numFmtId="0" fontId="5" fillId="0" borderId="0" xfId="0" applyFont="1"/>
    <xf numFmtId="164" fontId="3" fillId="0" borderId="0" xfId="0" applyNumberFormat="1" applyFont="1"/>
    <xf numFmtId="0" fontId="5" fillId="0" borderId="0" xfId="0" applyFont="1" applyAlignment="1">
      <alignment horizontal="left" indent="1"/>
    </xf>
    <xf numFmtId="164" fontId="5" fillId="0" borderId="0" xfId="0" applyNumberFormat="1" applyFont="1"/>
    <xf numFmtId="0" fontId="6" fillId="0" borderId="0" xfId="1" applyFont="1" applyFill="1" applyBorder="1"/>
    <xf numFmtId="0" fontId="5" fillId="0" borderId="0" xfId="1" applyFont="1" applyFill="1" applyBorder="1"/>
    <xf numFmtId="0" fontId="3" fillId="0" borderId="0" xfId="1" applyFont="1" applyFill="1" applyBorder="1" applyAlignment="1">
      <alignment horizontal="left" indent="1"/>
    </xf>
    <xf numFmtId="164" fontId="3" fillId="0" borderId="0" xfId="2" applyNumberFormat="1" applyFont="1" applyFill="1" applyBorder="1">
      <alignment horizontal="right"/>
    </xf>
    <xf numFmtId="0" fontId="3" fillId="0" borderId="0" xfId="1" applyFont="1" applyFill="1" applyBorder="1"/>
    <xf numFmtId="0" fontId="3" fillId="0" borderId="0" xfId="1" applyFont="1" applyFill="1" applyBorder="1" applyAlignment="1">
      <alignment horizontal="left"/>
    </xf>
    <xf numFmtId="164" fontId="5" fillId="0" borderId="0" xfId="2" applyNumberFormat="1" applyFont="1" applyFill="1" applyBorder="1">
      <alignment horizontal="right"/>
    </xf>
    <xf numFmtId="0" fontId="5" fillId="0" borderId="0" xfId="1" applyFont="1" applyFill="1" applyBorder="1" applyAlignment="1">
      <alignment horizontal="left" indent="1"/>
    </xf>
    <xf numFmtId="40" fontId="5" fillId="0" borderId="0" xfId="0" applyNumberFormat="1" applyFont="1"/>
    <xf numFmtId="0" fontId="7" fillId="0" borderId="0" xfId="0" applyFont="1"/>
    <xf numFmtId="0" fontId="3" fillId="0" borderId="0" xfId="0" applyFont="1" applyAlignment="1">
      <alignment horizontal="left" indent="2"/>
    </xf>
    <xf numFmtId="164" fontId="8" fillId="0" borderId="0" xfId="0" applyNumberFormat="1" applyFont="1"/>
    <xf numFmtId="164" fontId="8" fillId="0" borderId="0" xfId="2" applyNumberFormat="1" applyFont="1" applyFill="1" applyBorder="1">
      <alignment horizontal="right"/>
    </xf>
    <xf numFmtId="0" fontId="3" fillId="3" borderId="0" xfId="0" applyFont="1" applyFill="1"/>
    <xf numFmtId="38" fontId="3" fillId="3" borderId="0" xfId="0" applyNumberFormat="1" applyFont="1" applyFill="1"/>
    <xf numFmtId="0" fontId="9" fillId="3" borderId="0" xfId="0" applyFont="1" applyFill="1"/>
    <xf numFmtId="0" fontId="3" fillId="0" borderId="0" xfId="1" applyFont="1" applyFill="1" applyBorder="1" applyAlignment="1">
      <alignment horizontal="left" indent="2"/>
    </xf>
    <xf numFmtId="0" fontId="10" fillId="0" borderId="0" xfId="0" applyFont="1"/>
    <xf numFmtId="165" fontId="4" fillId="0" borderId="0" xfId="0" applyNumberFormat="1" applyFont="1"/>
    <xf numFmtId="166" fontId="3" fillId="0" borderId="0" xfId="4" applyNumberFormat="1" applyFont="1"/>
    <xf numFmtId="0" fontId="12" fillId="0" borderId="0" xfId="0" applyFont="1"/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13" fillId="0" borderId="0" xfId="0" applyNumberFormat="1" applyFont="1"/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left" inden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6" fontId="10" fillId="0" borderId="0" xfId="4" applyNumberFormat="1" applyFont="1" applyBorder="1"/>
    <xf numFmtId="0" fontId="10" fillId="0" borderId="7" xfId="0" applyFont="1" applyBorder="1"/>
    <xf numFmtId="43" fontId="10" fillId="0" borderId="7" xfId="0" applyNumberFormat="1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43" fontId="10" fillId="0" borderId="10" xfId="0" applyNumberFormat="1" applyFont="1" applyBorder="1"/>
    <xf numFmtId="0" fontId="14" fillId="2" borderId="11" xfId="0" applyFont="1" applyFill="1" applyBorder="1" applyAlignment="1">
      <alignment horizontal="right"/>
    </xf>
    <xf numFmtId="167" fontId="10" fillId="0" borderId="9" xfId="5" applyNumberFormat="1" applyFont="1" applyBorder="1"/>
    <xf numFmtId="167" fontId="10" fillId="0" borderId="0" xfId="5" applyNumberFormat="1" applyFont="1" applyBorder="1"/>
    <xf numFmtId="166" fontId="10" fillId="0" borderId="9" xfId="0" applyNumberFormat="1" applyFont="1" applyBorder="1"/>
    <xf numFmtId="0" fontId="15" fillId="0" borderId="0" xfId="0" applyFont="1"/>
    <xf numFmtId="165" fontId="15" fillId="0" borderId="0" xfId="0" applyNumberFormat="1" applyFont="1"/>
    <xf numFmtId="166" fontId="7" fillId="0" borderId="0" xfId="4" applyNumberFormat="1" applyFont="1"/>
    <xf numFmtId="10" fontId="10" fillId="0" borderId="0" xfId="0" applyNumberFormat="1" applyFont="1"/>
    <xf numFmtId="0" fontId="12" fillId="4" borderId="12" xfId="0" applyFont="1" applyFill="1" applyBorder="1"/>
    <xf numFmtId="0" fontId="12" fillId="4" borderId="13" xfId="0" applyFont="1" applyFill="1" applyBorder="1"/>
    <xf numFmtId="168" fontId="10" fillId="0" borderId="0" xfId="0" applyNumberFormat="1" applyFont="1"/>
    <xf numFmtId="10" fontId="12" fillId="4" borderId="14" xfId="4" applyNumberFormat="1" applyFont="1" applyFill="1" applyBorder="1"/>
    <xf numFmtId="0" fontId="12" fillId="0" borderId="0" xfId="0" applyFont="1" applyAlignment="1">
      <alignment horizontal="center"/>
    </xf>
    <xf numFmtId="43" fontId="10" fillId="0" borderId="0" xfId="5" applyFont="1"/>
    <xf numFmtId="0" fontId="12" fillId="0" borderId="15" xfId="0" applyFont="1" applyBorder="1"/>
    <xf numFmtId="0" fontId="10" fillId="0" borderId="15" xfId="0" applyFont="1" applyBorder="1"/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43" fontId="12" fillId="0" borderId="15" xfId="0" applyNumberFormat="1" applyFont="1" applyBorder="1"/>
    <xf numFmtId="0" fontId="16" fillId="0" borderId="0" xfId="0" applyFont="1"/>
    <xf numFmtId="167" fontId="10" fillId="0" borderId="0" xfId="5" applyNumberFormat="1" applyFont="1" applyFill="1"/>
    <xf numFmtId="43" fontId="10" fillId="0" borderId="0" xfId="0" applyNumberFormat="1" applyFont="1"/>
    <xf numFmtId="0" fontId="17" fillId="0" borderId="0" xfId="0" applyFont="1"/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0" fontId="17" fillId="0" borderId="0" xfId="0" applyNumberFormat="1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9" fillId="0" borderId="0" xfId="0" applyFont="1"/>
    <xf numFmtId="43" fontId="10" fillId="0" borderId="0" xfId="5" applyFont="1" applyAlignment="1">
      <alignment horizontal="right"/>
    </xf>
    <xf numFmtId="0" fontId="8" fillId="0" borderId="0" xfId="0" applyFont="1" applyAlignment="1">
      <alignment horizontal="right"/>
    </xf>
    <xf numFmtId="10" fontId="8" fillId="0" borderId="0" xfId="5" applyNumberFormat="1" applyFont="1" applyAlignment="1">
      <alignment horizontal="right"/>
    </xf>
    <xf numFmtId="10" fontId="8" fillId="0" borderId="0" xfId="4" applyNumberFormat="1" applyFont="1" applyAlignment="1">
      <alignment horizontal="right"/>
    </xf>
    <xf numFmtId="0" fontId="10" fillId="3" borderId="0" xfId="0" applyFont="1" applyFill="1"/>
    <xf numFmtId="0" fontId="9" fillId="0" borderId="0" xfId="0" applyFont="1"/>
    <xf numFmtId="166" fontId="10" fillId="0" borderId="0" xfId="4" applyNumberFormat="1" applyFont="1"/>
    <xf numFmtId="10" fontId="10" fillId="0" borderId="0" xfId="4" applyNumberFormat="1" applyFont="1"/>
    <xf numFmtId="10" fontId="10" fillId="0" borderId="0" xfId="5" applyNumberFormat="1" applyFont="1"/>
    <xf numFmtId="10" fontId="12" fillId="4" borderId="14" xfId="0" applyNumberFormat="1" applyFont="1" applyFill="1" applyBorder="1"/>
    <xf numFmtId="167" fontId="10" fillId="0" borderId="0" xfId="5" applyNumberFormat="1" applyFont="1"/>
    <xf numFmtId="167" fontId="10" fillId="0" borderId="0" xfId="5" applyNumberFormat="1" applyFont="1" applyAlignment="1"/>
    <xf numFmtId="167" fontId="10" fillId="0" borderId="0" xfId="0" applyNumberFormat="1" applyFont="1"/>
    <xf numFmtId="167" fontId="12" fillId="0" borderId="15" xfId="0" applyNumberFormat="1" applyFont="1" applyBorder="1"/>
    <xf numFmtId="166" fontId="12" fillId="0" borderId="15" xfId="4" applyNumberFormat="1" applyFont="1" applyBorder="1"/>
    <xf numFmtId="167" fontId="10" fillId="0" borderId="0" xfId="5" applyNumberFormat="1" applyFont="1" applyAlignment="1">
      <alignment horizontal="right"/>
    </xf>
    <xf numFmtId="0" fontId="15" fillId="0" borderId="17" xfId="0" applyFont="1" applyBorder="1"/>
    <xf numFmtId="43" fontId="15" fillId="0" borderId="17" xfId="0" applyNumberFormat="1" applyFont="1" applyBorder="1"/>
    <xf numFmtId="0" fontId="20" fillId="0" borderId="0" xfId="0" applyFont="1"/>
    <xf numFmtId="10" fontId="12" fillId="0" borderId="15" xfId="4" applyNumberFormat="1" applyFont="1" applyBorder="1"/>
    <xf numFmtId="0" fontId="12" fillId="0" borderId="16" xfId="0" applyFont="1" applyBorder="1"/>
    <xf numFmtId="0" fontId="12" fillId="0" borderId="17" xfId="0" applyFont="1" applyBorder="1"/>
    <xf numFmtId="43" fontId="12" fillId="0" borderId="15" xfId="5" applyFont="1" applyBorder="1" applyAlignment="1">
      <alignment vertical="center"/>
    </xf>
    <xf numFmtId="43" fontId="12" fillId="4" borderId="14" xfId="5" applyFont="1" applyFill="1" applyBorder="1"/>
    <xf numFmtId="10" fontId="10" fillId="0" borderId="0" xfId="4" applyNumberFormat="1" applyFont="1" applyFill="1" applyBorder="1" applyAlignment="1">
      <alignment horizontal="right"/>
    </xf>
    <xf numFmtId="10" fontId="12" fillId="0" borderId="0" xfId="4" applyNumberFormat="1" applyFont="1" applyFill="1" applyBorder="1"/>
    <xf numFmtId="167" fontId="10" fillId="0" borderId="0" xfId="5" applyNumberFormat="1" applyFont="1" applyFill="1" applyBorder="1" applyAlignment="1">
      <alignment horizontal="right"/>
    </xf>
    <xf numFmtId="169" fontId="10" fillId="0" borderId="0" xfId="5" applyNumberFormat="1" applyFont="1"/>
    <xf numFmtId="167" fontId="12" fillId="0" borderId="0" xfId="5" applyNumberFormat="1" applyFont="1"/>
    <xf numFmtId="170" fontId="4" fillId="0" borderId="0" xfId="0" applyNumberFormat="1" applyFont="1"/>
    <xf numFmtId="10" fontId="8" fillId="0" borderId="0" xfId="0" applyNumberFormat="1" applyFont="1"/>
    <xf numFmtId="168" fontId="8" fillId="0" borderId="0" xfId="0" applyNumberFormat="1" applyFont="1"/>
    <xf numFmtId="10" fontId="13" fillId="0" borderId="0" xfId="0" applyNumberFormat="1" applyFont="1"/>
    <xf numFmtId="43" fontId="13" fillId="0" borderId="0" xfId="0" applyNumberFormat="1" applyFont="1"/>
    <xf numFmtId="167" fontId="8" fillId="0" borderId="0" xfId="5" applyNumberFormat="1" applyFont="1"/>
    <xf numFmtId="9" fontId="21" fillId="0" borderId="0" xfId="0" applyNumberFormat="1" applyFont="1"/>
    <xf numFmtId="167" fontId="8" fillId="0" borderId="0" xfId="5" applyNumberFormat="1" applyFont="1" applyAlignment="1">
      <alignment horizontal="right"/>
    </xf>
    <xf numFmtId="43" fontId="8" fillId="0" borderId="0" xfId="5" applyFont="1"/>
    <xf numFmtId="43" fontId="8" fillId="0" borderId="0" xfId="5" applyFont="1" applyAlignment="1">
      <alignment horizontal="right"/>
    </xf>
    <xf numFmtId="0" fontId="8" fillId="0" borderId="0" xfId="0" applyFont="1" applyAlignment="1">
      <alignment horizontal="center"/>
    </xf>
    <xf numFmtId="43" fontId="8" fillId="0" borderId="0" xfId="5" applyFont="1" applyFill="1" applyAlignment="1">
      <alignment horizontal="center"/>
    </xf>
    <xf numFmtId="10" fontId="8" fillId="0" borderId="0" xfId="0" applyNumberFormat="1" applyFont="1" applyAlignment="1">
      <alignment horizontal="center"/>
    </xf>
    <xf numFmtId="167" fontId="8" fillId="0" borderId="0" xfId="5" applyNumberFormat="1" applyFont="1" applyAlignment="1"/>
    <xf numFmtId="0" fontId="3" fillId="0" borderId="0" xfId="0" applyFont="1" applyAlignment="1">
      <alignment horizontal="left" indent="1"/>
    </xf>
    <xf numFmtId="166" fontId="10" fillId="0" borderId="0" xfId="0" applyNumberFormat="1" applyFont="1"/>
    <xf numFmtId="166" fontId="7" fillId="5" borderId="0" xfId="4" applyNumberFormat="1" applyFont="1" applyFill="1"/>
    <xf numFmtId="0" fontId="10" fillId="0" borderId="0" xfId="0" applyFont="1" applyAlignment="1">
      <alignment horizontal="left"/>
    </xf>
    <xf numFmtId="164" fontId="10" fillId="0" borderId="0" xfId="0" applyNumberFormat="1" applyFont="1"/>
    <xf numFmtId="0" fontId="6" fillId="0" borderId="0" xfId="0" applyFont="1"/>
    <xf numFmtId="38" fontId="5" fillId="0" borderId="0" xfId="0" applyNumberFormat="1" applyFont="1"/>
    <xf numFmtId="0" fontId="12" fillId="0" borderId="19" xfId="0" applyFont="1" applyBorder="1" applyAlignment="1">
      <alignment horizontal="left" indent="1"/>
    </xf>
    <xf numFmtId="0" fontId="12" fillId="0" borderId="19" xfId="0" applyFont="1" applyBorder="1"/>
    <xf numFmtId="167" fontId="12" fillId="0" borderId="19" xfId="0" applyNumberFormat="1" applyFont="1" applyBorder="1"/>
    <xf numFmtId="171" fontId="10" fillId="0" borderId="0" xfId="0" applyNumberFormat="1" applyFont="1"/>
    <xf numFmtId="0" fontId="10" fillId="0" borderId="0" xfId="0" applyFont="1" applyAlignment="1">
      <alignment horizontal="left" indent="1"/>
    </xf>
    <xf numFmtId="0" fontId="12" fillId="6" borderId="0" xfId="0" applyFont="1" applyFill="1"/>
    <xf numFmtId="10" fontId="12" fillId="6" borderId="0" xfId="4" applyNumberFormat="1" applyFont="1" applyFill="1"/>
    <xf numFmtId="167" fontId="12" fillId="0" borderId="15" xfId="5" applyNumberFormat="1" applyFont="1" applyBorder="1"/>
    <xf numFmtId="10" fontId="12" fillId="0" borderId="15" xfId="0" applyNumberFormat="1" applyFont="1" applyBorder="1"/>
    <xf numFmtId="10" fontId="8" fillId="0" borderId="0" xfId="4" applyNumberFormat="1" applyFont="1" applyFill="1" applyAlignment="1"/>
    <xf numFmtId="167" fontId="8" fillId="0" borderId="0" xfId="5" applyNumberFormat="1" applyFont="1" applyAlignment="1">
      <alignment horizontal="left"/>
    </xf>
    <xf numFmtId="0" fontId="10" fillId="0" borderId="0" xfId="0" applyFont="1" applyAlignment="1">
      <alignment wrapText="1"/>
    </xf>
    <xf numFmtId="172" fontId="3" fillId="0" borderId="0" xfId="0" applyNumberFormat="1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20" xfId="0" applyFont="1" applyBorder="1"/>
    <xf numFmtId="0" fontId="10" fillId="0" borderId="20" xfId="0" applyFont="1" applyBorder="1"/>
    <xf numFmtId="172" fontId="3" fillId="0" borderId="20" xfId="0" applyNumberFormat="1" applyFont="1" applyBorder="1"/>
    <xf numFmtId="164" fontId="3" fillId="0" borderId="20" xfId="0" applyNumberFormat="1" applyFont="1" applyBorder="1"/>
    <xf numFmtId="43" fontId="10" fillId="0" borderId="20" xfId="5" applyFont="1" applyBorder="1"/>
    <xf numFmtId="0" fontId="12" fillId="7" borderId="0" xfId="0" applyFont="1" applyFill="1" applyAlignment="1">
      <alignment horizontal="center" vertical="center" wrapText="1"/>
    </xf>
    <xf numFmtId="0" fontId="10" fillId="0" borderId="20" xfId="0" applyFont="1" applyBorder="1" applyAlignment="1">
      <alignment horizontal="center"/>
    </xf>
    <xf numFmtId="43" fontId="3" fillId="0" borderId="0" xfId="5" applyFont="1"/>
    <xf numFmtId="0" fontId="10" fillId="0" borderId="19" xfId="0" applyFont="1" applyBorder="1"/>
    <xf numFmtId="0" fontId="10" fillId="0" borderId="19" xfId="0" applyFont="1" applyBorder="1" applyAlignment="1">
      <alignment horizontal="center"/>
    </xf>
    <xf numFmtId="172" fontId="3" fillId="0" borderId="19" xfId="0" applyNumberFormat="1" applyFont="1" applyBorder="1"/>
    <xf numFmtId="164" fontId="3" fillId="0" borderId="19" xfId="0" applyNumberFormat="1" applyFont="1" applyBorder="1"/>
    <xf numFmtId="43" fontId="3" fillId="0" borderId="19" xfId="5" applyFont="1" applyBorder="1"/>
    <xf numFmtId="43" fontId="3" fillId="0" borderId="20" xfId="5" applyFont="1" applyBorder="1"/>
    <xf numFmtId="0" fontId="12" fillId="0" borderId="21" xfId="0" applyFont="1" applyBorder="1"/>
    <xf numFmtId="0" fontId="12" fillId="0" borderId="23" xfId="0" applyFont="1" applyBorder="1"/>
    <xf numFmtId="43" fontId="12" fillId="0" borderId="19" xfId="5" applyFont="1" applyBorder="1"/>
    <xf numFmtId="43" fontId="12" fillId="0" borderId="22" xfId="5" applyFont="1" applyBorder="1"/>
    <xf numFmtId="43" fontId="12" fillId="0" borderId="20" xfId="5" applyFont="1" applyBorder="1"/>
    <xf numFmtId="43" fontId="12" fillId="0" borderId="24" xfId="5" applyFont="1" applyBorder="1"/>
    <xf numFmtId="43" fontId="5" fillId="0" borderId="0" xfId="5" applyFont="1" applyFill="1" applyBorder="1"/>
    <xf numFmtId="43" fontId="12" fillId="0" borderId="0" xfId="5" applyFont="1" applyFill="1" applyBorder="1"/>
    <xf numFmtId="0" fontId="12" fillId="5" borderId="12" xfId="0" applyFont="1" applyFill="1" applyBorder="1" applyAlignment="1">
      <alignment vertical="center"/>
    </xf>
    <xf numFmtId="0" fontId="12" fillId="5" borderId="13" xfId="0" applyFont="1" applyFill="1" applyBorder="1" applyAlignment="1">
      <alignment vertical="center"/>
    </xf>
    <xf numFmtId="0" fontId="12" fillId="5" borderId="13" xfId="0" applyFont="1" applyFill="1" applyBorder="1" applyAlignment="1">
      <alignment horizontal="center" vertical="center"/>
    </xf>
    <xf numFmtId="43" fontId="5" fillId="5" borderId="13" xfId="5" applyFont="1" applyFill="1" applyBorder="1" applyAlignment="1">
      <alignment vertical="center"/>
    </xf>
    <xf numFmtId="164" fontId="5" fillId="5" borderId="13" xfId="0" applyNumberFormat="1" applyFont="1" applyFill="1" applyBorder="1" applyAlignment="1">
      <alignment vertical="center"/>
    </xf>
    <xf numFmtId="43" fontId="12" fillId="5" borderId="13" xfId="5" applyFont="1" applyFill="1" applyBorder="1" applyAlignment="1">
      <alignment vertical="center"/>
    </xf>
    <xf numFmtId="43" fontId="12" fillId="5" borderId="14" xfId="5" applyFont="1" applyFill="1" applyBorder="1" applyAlignment="1">
      <alignment vertical="center"/>
    </xf>
    <xf numFmtId="164" fontId="5" fillId="0" borderId="0" xfId="0" applyNumberFormat="1" applyFont="1" applyAlignment="1">
      <alignment horizontal="center"/>
    </xf>
    <xf numFmtId="166" fontId="10" fillId="0" borderId="0" xfId="4" applyNumberFormat="1" applyFont="1" applyAlignment="1">
      <alignment horizontal="center"/>
    </xf>
    <xf numFmtId="0" fontId="10" fillId="0" borderId="21" xfId="0" applyFont="1" applyBorder="1"/>
    <xf numFmtId="167" fontId="10" fillId="0" borderId="22" xfId="5" applyNumberFormat="1" applyFont="1" applyFill="1" applyBorder="1" applyAlignment="1">
      <alignment horizontal="center"/>
    </xf>
    <xf numFmtId="0" fontId="10" fillId="0" borderId="23" xfId="0" applyFont="1" applyBorder="1"/>
    <xf numFmtId="167" fontId="10" fillId="0" borderId="24" xfId="5" applyNumberFormat="1" applyFont="1" applyFill="1" applyBorder="1" applyAlignment="1">
      <alignment horizontal="center"/>
    </xf>
    <xf numFmtId="0" fontId="12" fillId="3" borderId="0" xfId="0" applyFont="1" applyFill="1"/>
    <xf numFmtId="0" fontId="12" fillId="3" borderId="0" xfId="0" applyFont="1" applyFill="1" applyAlignment="1">
      <alignment horizontal="center"/>
    </xf>
    <xf numFmtId="43" fontId="5" fillId="3" borderId="0" xfId="5" applyFont="1" applyFill="1" applyBorder="1"/>
    <xf numFmtId="164" fontId="5" fillId="3" borderId="0" xfId="0" applyNumberFormat="1" applyFont="1" applyFill="1"/>
    <xf numFmtId="43" fontId="12" fillId="3" borderId="0" xfId="5" applyFont="1" applyFill="1" applyBorder="1"/>
    <xf numFmtId="164" fontId="5" fillId="8" borderId="0" xfId="0" applyNumberFormat="1" applyFont="1" applyFill="1" applyAlignment="1">
      <alignment horizontal="center"/>
    </xf>
    <xf numFmtId="172" fontId="5" fillId="8" borderId="0" xfId="0" applyNumberFormat="1" applyFont="1" applyFill="1" applyAlignment="1">
      <alignment horizontal="center"/>
    </xf>
    <xf numFmtId="172" fontId="5" fillId="0" borderId="0" xfId="0" applyNumberFormat="1" applyFont="1" applyAlignment="1">
      <alignment horizontal="center"/>
    </xf>
    <xf numFmtId="43" fontId="10" fillId="0" borderId="0" xfId="5" applyFont="1" applyFill="1"/>
    <xf numFmtId="164" fontId="5" fillId="0" borderId="17" xfId="0" applyNumberFormat="1" applyFont="1" applyBorder="1"/>
    <xf numFmtId="166" fontId="12" fillId="0" borderId="17" xfId="0" applyNumberFormat="1" applyFont="1" applyBorder="1" applyAlignment="1">
      <alignment horizontal="center"/>
    </xf>
    <xf numFmtId="172" fontId="5" fillId="0" borderId="17" xfId="0" applyNumberFormat="1" applyFont="1" applyBorder="1"/>
    <xf numFmtId="0" fontId="12" fillId="0" borderId="20" xfId="0" applyFont="1" applyBorder="1" applyAlignment="1">
      <alignment horizontal="center"/>
    </xf>
    <xf numFmtId="43" fontId="3" fillId="0" borderId="0" xfId="5" applyFont="1" applyBorder="1"/>
    <xf numFmtId="43" fontId="12" fillId="0" borderId="0" xfId="5" applyFont="1" applyBorder="1"/>
    <xf numFmtId="0" fontId="12" fillId="0" borderId="1" xfId="0" applyFont="1" applyBorder="1"/>
    <xf numFmtId="43" fontId="12" fillId="0" borderId="25" xfId="5" applyFont="1" applyBorder="1"/>
    <xf numFmtId="167" fontId="3" fillId="0" borderId="0" xfId="5" applyNumberFormat="1" applyFont="1" applyFill="1"/>
    <xf numFmtId="172" fontId="10" fillId="0" borderId="0" xfId="0" applyNumberFormat="1" applyFont="1"/>
    <xf numFmtId="172" fontId="12" fillId="0" borderId="15" xfId="0" applyNumberFormat="1" applyFont="1" applyBorder="1"/>
    <xf numFmtId="172" fontId="5" fillId="0" borderId="15" xfId="0" applyNumberFormat="1" applyFont="1" applyBorder="1"/>
    <xf numFmtId="0" fontId="9" fillId="9" borderId="0" xfId="0" applyFont="1" applyFill="1" applyAlignment="1">
      <alignment horizontal="left"/>
    </xf>
    <xf numFmtId="0" fontId="9" fillId="9" borderId="0" xfId="0" applyFont="1" applyFill="1"/>
    <xf numFmtId="43" fontId="9" fillId="9" borderId="0" xfId="0" applyNumberFormat="1" applyFont="1" applyFill="1"/>
    <xf numFmtId="0" fontId="10" fillId="10" borderId="21" xfId="0" applyFont="1" applyFill="1" applyBorder="1"/>
    <xf numFmtId="10" fontId="10" fillId="10" borderId="19" xfId="0" applyNumberFormat="1" applyFont="1" applyFill="1" applyBorder="1" applyAlignment="1">
      <alignment horizontal="center"/>
    </xf>
    <xf numFmtId="10" fontId="12" fillId="10" borderId="19" xfId="0" applyNumberFormat="1" applyFont="1" applyFill="1" applyBorder="1" applyAlignment="1">
      <alignment horizontal="center"/>
    </xf>
    <xf numFmtId="10" fontId="10" fillId="10" borderId="22" xfId="0" applyNumberFormat="1" applyFont="1" applyFill="1" applyBorder="1" applyAlignment="1">
      <alignment horizontal="center"/>
    </xf>
    <xf numFmtId="10" fontId="10" fillId="10" borderId="1" xfId="0" applyNumberFormat="1" applyFont="1" applyFill="1" applyBorder="1" applyAlignment="1">
      <alignment horizontal="center"/>
    </xf>
    <xf numFmtId="43" fontId="10" fillId="0" borderId="21" xfId="5" applyFont="1" applyBorder="1" applyAlignment="1">
      <alignment horizontal="center"/>
    </xf>
    <xf numFmtId="43" fontId="10" fillId="0" borderId="19" xfId="5" applyFont="1" applyBorder="1" applyAlignment="1">
      <alignment horizontal="center"/>
    </xf>
    <xf numFmtId="43" fontId="10" fillId="0" borderId="22" xfId="5" applyFont="1" applyBorder="1" applyAlignment="1">
      <alignment horizontal="center"/>
    </xf>
    <xf numFmtId="43" fontId="10" fillId="0" borderId="1" xfId="5" applyFont="1" applyBorder="1" applyAlignment="1">
      <alignment horizontal="center"/>
    </xf>
    <xf numFmtId="43" fontId="10" fillId="0" borderId="0" xfId="5" applyFont="1" applyBorder="1" applyAlignment="1">
      <alignment horizontal="center"/>
    </xf>
    <xf numFmtId="43" fontId="10" fillId="0" borderId="25" xfId="5" applyFont="1" applyBorder="1" applyAlignment="1">
      <alignment horizontal="center"/>
    </xf>
    <xf numFmtId="10" fontId="12" fillId="10" borderId="1" xfId="0" applyNumberFormat="1" applyFont="1" applyFill="1" applyBorder="1" applyAlignment="1">
      <alignment horizontal="center"/>
    </xf>
    <xf numFmtId="10" fontId="10" fillId="10" borderId="23" xfId="0" applyNumberFormat="1" applyFont="1" applyFill="1" applyBorder="1" applyAlignment="1">
      <alignment horizontal="center"/>
    </xf>
    <xf numFmtId="43" fontId="10" fillId="0" borderId="23" xfId="5" applyFont="1" applyBorder="1" applyAlignment="1">
      <alignment horizontal="center"/>
    </xf>
    <xf numFmtId="43" fontId="10" fillId="0" borderId="20" xfId="5" applyFont="1" applyBorder="1" applyAlignment="1">
      <alignment horizontal="center"/>
    </xf>
    <xf numFmtId="43" fontId="10" fillId="0" borderId="24" xfId="5" applyFont="1" applyBorder="1" applyAlignment="1">
      <alignment horizontal="center"/>
    </xf>
    <xf numFmtId="43" fontId="12" fillId="11" borderId="21" xfId="0" applyNumberFormat="1" applyFont="1" applyFill="1" applyBorder="1"/>
    <xf numFmtId="9" fontId="10" fillId="0" borderId="0" xfId="4" applyFont="1" applyBorder="1" applyAlignment="1">
      <alignment horizontal="center"/>
    </xf>
    <xf numFmtId="9" fontId="10" fillId="0" borderId="25" xfId="4" applyFont="1" applyBorder="1" applyAlignment="1">
      <alignment horizontal="center"/>
    </xf>
    <xf numFmtId="9" fontId="10" fillId="0" borderId="20" xfId="4" applyFont="1" applyBorder="1" applyAlignment="1">
      <alignment horizontal="center"/>
    </xf>
    <xf numFmtId="9" fontId="10" fillId="0" borderId="24" xfId="4" applyFont="1" applyBorder="1" applyAlignment="1">
      <alignment horizontal="center"/>
    </xf>
    <xf numFmtId="0" fontId="12" fillId="10" borderId="0" xfId="0" applyFont="1" applyFill="1" applyAlignment="1">
      <alignment horizontal="center" vertical="center" textRotation="90" wrapText="1"/>
    </xf>
    <xf numFmtId="10" fontId="10" fillId="10" borderId="0" xfId="0" applyNumberFormat="1" applyFont="1" applyFill="1" applyAlignment="1">
      <alignment horizontal="center"/>
    </xf>
    <xf numFmtId="173" fontId="3" fillId="0" borderId="0" xfId="0" applyNumberFormat="1" applyFont="1"/>
    <xf numFmtId="172" fontId="5" fillId="0" borderId="0" xfId="0" applyNumberFormat="1" applyFont="1"/>
    <xf numFmtId="172" fontId="8" fillId="0" borderId="0" xfId="0" applyNumberFormat="1" applyFont="1"/>
    <xf numFmtId="167" fontId="8" fillId="0" borderId="0" xfId="5" applyNumberFormat="1" applyFont="1" applyBorder="1" applyAlignment="1">
      <alignment horizontal="center"/>
    </xf>
    <xf numFmtId="167" fontId="13" fillId="0" borderId="0" xfId="5" applyNumberFormat="1" applyFont="1"/>
    <xf numFmtId="171" fontId="8" fillId="0" borderId="0" xfId="0" applyNumberFormat="1" applyFont="1"/>
    <xf numFmtId="172" fontId="13" fillId="0" borderId="0" xfId="0" applyNumberFormat="1" applyFont="1"/>
    <xf numFmtId="0" fontId="5" fillId="0" borderId="20" xfId="0" applyFont="1" applyBorder="1"/>
    <xf numFmtId="0" fontId="3" fillId="0" borderId="20" xfId="0" applyFont="1" applyBorder="1"/>
    <xf numFmtId="40" fontId="3" fillId="0" borderId="20" xfId="0" applyNumberFormat="1" applyFont="1" applyBorder="1"/>
    <xf numFmtId="0" fontId="5" fillId="0" borderId="15" xfId="0" applyFont="1" applyBorder="1"/>
    <xf numFmtId="164" fontId="5" fillId="0" borderId="15" xfId="0" applyNumberFormat="1" applyFont="1" applyBorder="1"/>
    <xf numFmtId="166" fontId="5" fillId="0" borderId="15" xfId="4" applyNumberFormat="1" applyFont="1" applyBorder="1"/>
    <xf numFmtId="167" fontId="5" fillId="0" borderId="15" xfId="5" applyNumberFormat="1" applyFont="1" applyBorder="1"/>
    <xf numFmtId="43" fontId="5" fillId="0" borderId="15" xfId="5" applyFont="1" applyBorder="1"/>
    <xf numFmtId="9" fontId="5" fillId="0" borderId="0" xfId="4" applyFont="1"/>
    <xf numFmtId="43" fontId="12" fillId="0" borderId="0" xfId="5" applyFont="1" applyAlignment="1">
      <alignment horizontal="center"/>
    </xf>
    <xf numFmtId="43" fontId="12" fillId="0" borderId="17" xfId="5" applyFont="1" applyBorder="1" applyAlignment="1">
      <alignment horizontal="center"/>
    </xf>
    <xf numFmtId="175" fontId="3" fillId="0" borderId="0" xfId="0" applyNumberFormat="1" applyFont="1"/>
    <xf numFmtId="176" fontId="3" fillId="0" borderId="0" xfId="0" applyNumberFormat="1" applyFont="1"/>
    <xf numFmtId="177" fontId="10" fillId="0" borderId="0" xfId="0" applyNumberFormat="1" applyFont="1"/>
    <xf numFmtId="0" fontId="19" fillId="0" borderId="0" xfId="0" applyFont="1"/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 textRotation="90" wrapText="1"/>
    </xf>
    <xf numFmtId="0" fontId="12" fillId="10" borderId="26" xfId="0" applyFont="1" applyFill="1" applyBorder="1" applyAlignment="1">
      <alignment horizontal="center" vertical="center" textRotation="90" wrapText="1"/>
    </xf>
    <xf numFmtId="0" fontId="12" fillId="8" borderId="0" xfId="0" applyFont="1" applyFill="1" applyAlignment="1">
      <alignment horizontal="center" vertical="center"/>
    </xf>
    <xf numFmtId="164" fontId="5" fillId="8" borderId="20" xfId="0" applyNumberFormat="1" applyFont="1" applyFill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2" fillId="7" borderId="0" xfId="0" applyFont="1" applyFill="1" applyAlignment="1">
      <alignment horizontal="center" vertical="center"/>
    </xf>
  </cellXfs>
  <cellStyles count="6">
    <cellStyle name="Comma" xfId="5" builtinId="3"/>
    <cellStyle name="fa_data_standard" xfId="3" xr:uid="{A7DDAF29-3672-4B82-B0BC-7F04E68AE44D}"/>
    <cellStyle name="fa_data_standard_2_grouped" xfId="2" xr:uid="{11E087FB-C7EA-46DC-A7B8-144DEF036B58}"/>
    <cellStyle name="fa_row_header_standard" xfId="1" xr:uid="{B9F6B2AA-BE68-4F7C-A67E-A1E56AB253FF}"/>
    <cellStyle name="Normal" xfId="0" builtinId="0"/>
    <cellStyle name="Percent" xfId="4" builtinId="5"/>
  </cellStyles>
  <dxfs count="0"/>
  <tableStyles count="0" defaultTableStyle="TableStyleMedium2" defaultPivotStyle="PivotStyleLight16"/>
  <colors>
    <mruColors>
      <color rgb="FFFFCCCC"/>
      <color rgb="FFE1E5F2"/>
      <color rgb="FFBFDBF7"/>
      <color rgb="FF1F7A8C"/>
      <color rgb="FF022B3A"/>
      <color rgb="FF01497C"/>
      <color rgb="FF013A63"/>
      <color rgb="FF012A4A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9D86-5B0D-4BFE-AF7A-212C1BE67026}">
  <dimension ref="A1:U257"/>
  <sheetViews>
    <sheetView showGridLines="0" zoomScaleNormal="100" workbookViewId="0">
      <pane xSplit="1" ySplit="2" topLeftCell="B66" activePane="bottomRight" state="frozen"/>
      <selection pane="topRight" activeCell="B1" sqref="B1"/>
      <selection pane="bottomLeft" activeCell="A3" sqref="A3"/>
      <selection pane="bottomRight" activeCell="J45" sqref="J45"/>
    </sheetView>
  </sheetViews>
  <sheetFormatPr defaultColWidth="9.140625" defaultRowHeight="14.25" x14ac:dyDescent="0.2"/>
  <cols>
    <col min="1" max="1" width="4.7109375" style="1" customWidth="1"/>
    <col min="2" max="2" width="40.7109375" style="1" customWidth="1"/>
    <col min="3" max="3" width="6.7109375" style="1" customWidth="1"/>
    <col min="4" max="8" width="9.7109375" style="6" customWidth="1"/>
    <col min="9" max="18" width="9.7109375" style="2" customWidth="1"/>
    <col min="19" max="16384" width="9.140625" style="2"/>
  </cols>
  <sheetData>
    <row r="1" spans="2:20" x14ac:dyDescent="0.2">
      <c r="D1" s="2"/>
      <c r="E1" s="2"/>
      <c r="F1" s="2"/>
      <c r="G1" s="2"/>
      <c r="H1" s="2"/>
    </row>
    <row r="2" spans="2:20" x14ac:dyDescent="0.2">
      <c r="B2" s="3" t="s">
        <v>0</v>
      </c>
      <c r="C2" s="3"/>
      <c r="D2" s="3">
        <v>2021</v>
      </c>
      <c r="E2" s="3">
        <f t="shared" ref="E2:R2" si="0">D2+1</f>
        <v>2022</v>
      </c>
      <c r="F2" s="3">
        <f t="shared" si="0"/>
        <v>2023</v>
      </c>
      <c r="G2" s="3">
        <f t="shared" si="0"/>
        <v>2024</v>
      </c>
      <c r="H2" s="3">
        <f t="shared" si="0"/>
        <v>2025</v>
      </c>
      <c r="I2" s="104">
        <f t="shared" si="0"/>
        <v>2026</v>
      </c>
      <c r="J2" s="27">
        <f t="shared" si="0"/>
        <v>2027</v>
      </c>
      <c r="K2" s="27">
        <f t="shared" si="0"/>
        <v>2028</v>
      </c>
      <c r="L2" s="27">
        <f t="shared" si="0"/>
        <v>2029</v>
      </c>
      <c r="M2" s="27">
        <f t="shared" si="0"/>
        <v>2030</v>
      </c>
      <c r="N2" s="27">
        <f t="shared" si="0"/>
        <v>2031</v>
      </c>
      <c r="O2" s="27">
        <f t="shared" si="0"/>
        <v>2032</v>
      </c>
      <c r="P2" s="27">
        <f t="shared" si="0"/>
        <v>2033</v>
      </c>
      <c r="Q2" s="27">
        <f t="shared" si="0"/>
        <v>2034</v>
      </c>
      <c r="R2" s="27">
        <f t="shared" si="0"/>
        <v>2035</v>
      </c>
    </row>
    <row r="3" spans="2:20" x14ac:dyDescent="0.2">
      <c r="D3" s="4"/>
      <c r="E3" s="4"/>
      <c r="F3" s="4"/>
      <c r="G3" s="4"/>
      <c r="H3" s="4"/>
    </row>
    <row r="4" spans="2:20" ht="15" x14ac:dyDescent="0.25">
      <c r="B4" s="24" t="s">
        <v>13</v>
      </c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2:20" ht="3.95" customHeight="1" x14ac:dyDescent="0.25">
      <c r="B5" s="5"/>
      <c r="D5" s="4"/>
      <c r="E5" s="4"/>
      <c r="F5" s="4"/>
      <c r="G5" s="4"/>
      <c r="H5" s="4"/>
    </row>
    <row r="6" spans="2:20" x14ac:dyDescent="0.2">
      <c r="B6" s="1" t="s">
        <v>1</v>
      </c>
      <c r="C6" s="20">
        <v>17858</v>
      </c>
      <c r="D6" s="20">
        <v>19628</v>
      </c>
      <c r="E6" s="20">
        <v>20752</v>
      </c>
      <c r="F6" s="20">
        <v>23196</v>
      </c>
      <c r="G6" s="20">
        <v>24878</v>
      </c>
      <c r="H6" s="20">
        <v>27448</v>
      </c>
      <c r="I6" s="4">
        <f>H6*(1+I57)</f>
        <v>30249.010338966356</v>
      </c>
      <c r="J6" s="4">
        <f>I6*(1+J57)</f>
        <v>33335.857858018564</v>
      </c>
      <c r="K6" s="4">
        <f t="shared" ref="K6:R6" si="1">J6*(1+K57)</f>
        <v>36737.711636750086</v>
      </c>
      <c r="L6" s="4">
        <f t="shared" si="1"/>
        <v>40486.717397625252</v>
      </c>
      <c r="M6" s="4">
        <f t="shared" si="1"/>
        <v>44618.301266087707</v>
      </c>
      <c r="N6" s="4">
        <f t="shared" si="1"/>
        <v>48901.350152733859</v>
      </c>
      <c r="O6" s="4">
        <f t="shared" si="1"/>
        <v>53299.454832251962</v>
      </c>
      <c r="P6" s="4">
        <f t="shared" si="1"/>
        <v>57770.400679440085</v>
      </c>
      <c r="Q6" s="4">
        <f t="shared" si="1"/>
        <v>62266.597642931134</v>
      </c>
      <c r="R6" s="4">
        <f t="shared" si="1"/>
        <v>64850.661445112783</v>
      </c>
    </row>
    <row r="7" spans="2:20" ht="15" x14ac:dyDescent="0.25">
      <c r="B7" s="1" t="s">
        <v>2</v>
      </c>
      <c r="D7" s="20">
        <v>-12371</v>
      </c>
      <c r="E7" s="20">
        <v>-12911</v>
      </c>
      <c r="F7" s="20">
        <v>-13836</v>
      </c>
      <c r="G7" s="20">
        <v>-14454</v>
      </c>
      <c r="H7" s="20">
        <v>-16125</v>
      </c>
      <c r="I7" s="6">
        <f>-I6*I62</f>
        <v>-17657.165495204255</v>
      </c>
      <c r="J7" s="6">
        <f t="shared" ref="J7:R7" si="2">-J6*J62</f>
        <v>-19334.117432308285</v>
      </c>
      <c r="K7" s="6">
        <f t="shared" si="2"/>
        <v>-21169.450491319105</v>
      </c>
      <c r="L7" s="6">
        <f t="shared" si="2"/>
        <v>-23178.02619610275</v>
      </c>
      <c r="M7" s="6">
        <f t="shared" si="2"/>
        <v>-25376.089899975057</v>
      </c>
      <c r="N7" s="6">
        <f t="shared" si="2"/>
        <v>-27628.76398836244</v>
      </c>
      <c r="O7" s="6">
        <f t="shared" si="2"/>
        <v>-29913.911239498135</v>
      </c>
      <c r="P7" s="6">
        <f t="shared" si="2"/>
        <v>-32206.703717752611</v>
      </c>
      <c r="Q7" s="6">
        <f t="shared" si="2"/>
        <v>-34479.969647708298</v>
      </c>
      <c r="R7" s="6">
        <f t="shared" si="2"/>
        <v>-35667.863794812023</v>
      </c>
      <c r="S7"/>
      <c r="T7"/>
    </row>
    <row r="8" spans="2:20" ht="15" x14ac:dyDescent="0.25">
      <c r="B8" s="7" t="s">
        <v>9</v>
      </c>
      <c r="C8" s="5"/>
      <c r="D8" s="8">
        <f>SUM(D6:D7)</f>
        <v>7257</v>
      </c>
      <c r="E8" s="8">
        <f>SUM(E6:E7)</f>
        <v>7841</v>
      </c>
      <c r="F8" s="8">
        <f>SUM(F6:F7)</f>
        <v>9360</v>
      </c>
      <c r="G8" s="8">
        <f>SUM(G6:G7)</f>
        <v>10424</v>
      </c>
      <c r="H8" s="8">
        <f>SUM(H6:H7)</f>
        <v>11323</v>
      </c>
      <c r="I8" s="8">
        <f t="shared" ref="I8:R8" si="3">SUM(I6:I7)</f>
        <v>12591.844843762101</v>
      </c>
      <c r="J8" s="8">
        <f t="shared" si="3"/>
        <v>14001.740425710279</v>
      </c>
      <c r="K8" s="8">
        <f t="shared" si="3"/>
        <v>15568.261145430981</v>
      </c>
      <c r="L8" s="8">
        <f t="shared" si="3"/>
        <v>17308.691201522503</v>
      </c>
      <c r="M8" s="8">
        <f t="shared" si="3"/>
        <v>19242.21136611265</v>
      </c>
      <c r="N8" s="8">
        <f t="shared" si="3"/>
        <v>21272.58616437142</v>
      </c>
      <c r="O8" s="8">
        <f t="shared" si="3"/>
        <v>23385.543592753827</v>
      </c>
      <c r="P8" s="8">
        <f t="shared" si="3"/>
        <v>25563.696961687474</v>
      </c>
      <c r="Q8" s="8">
        <f t="shared" si="3"/>
        <v>27786.627995222836</v>
      </c>
      <c r="R8" s="8">
        <f t="shared" si="3"/>
        <v>29182.797650300759</v>
      </c>
      <c r="S8"/>
      <c r="T8"/>
    </row>
    <row r="9" spans="2:20" ht="3.95" customHeight="1" x14ac:dyDescent="0.25">
      <c r="B9" s="7"/>
      <c r="C9" s="5"/>
      <c r="D9" s="8"/>
      <c r="E9" s="8"/>
      <c r="F9" s="8"/>
      <c r="G9" s="8"/>
      <c r="H9" s="8"/>
      <c r="L9"/>
      <c r="M9"/>
      <c r="N9"/>
      <c r="O9"/>
      <c r="P9"/>
      <c r="Q9"/>
      <c r="R9"/>
      <c r="S9"/>
      <c r="T9"/>
    </row>
    <row r="10" spans="2:20" ht="15" x14ac:dyDescent="0.25">
      <c r="B10" s="1" t="s">
        <v>63</v>
      </c>
      <c r="C10" s="5"/>
      <c r="D10" s="237"/>
      <c r="E10" s="237"/>
      <c r="F10" s="237"/>
      <c r="G10" s="237"/>
      <c r="H10" s="237"/>
      <c r="L10"/>
      <c r="M10"/>
      <c r="N10"/>
      <c r="O10"/>
      <c r="P10"/>
      <c r="Q10"/>
      <c r="R10"/>
      <c r="S10"/>
      <c r="T10"/>
    </row>
    <row r="11" spans="2:20" ht="15" x14ac:dyDescent="0.25">
      <c r="B11" s="19" t="s">
        <v>3</v>
      </c>
      <c r="D11" s="20">
        <v>-2829</v>
      </c>
      <c r="E11" s="20">
        <v>-3000</v>
      </c>
      <c r="F11" s="20">
        <v>-3684</v>
      </c>
      <c r="G11" s="20">
        <v>-3839</v>
      </c>
      <c r="H11" s="20">
        <v>-3995</v>
      </c>
      <c r="I11" s="6">
        <f t="shared" ref="I11:R11" si="4">-I6*I63</f>
        <v>-4521.481056736252</v>
      </c>
      <c r="J11" s="6">
        <f t="shared" si="4"/>
        <v>-4982.888634241307</v>
      </c>
      <c r="K11" s="6">
        <f t="shared" si="4"/>
        <v>-5491.3818790106106</v>
      </c>
      <c r="L11" s="6">
        <f t="shared" si="4"/>
        <v>-6051.7657837876877</v>
      </c>
      <c r="M11" s="6">
        <f t="shared" si="4"/>
        <v>-6669.3356806614911</v>
      </c>
      <c r="N11" s="6">
        <f t="shared" si="4"/>
        <v>-7309.5458623843369</v>
      </c>
      <c r="O11" s="6">
        <f t="shared" si="4"/>
        <v>-7966.9540476818029</v>
      </c>
      <c r="P11" s="6">
        <f t="shared" si="4"/>
        <v>-8635.2501911663257</v>
      </c>
      <c r="Q11" s="6">
        <f t="shared" si="4"/>
        <v>-9307.3207538052538</v>
      </c>
      <c r="R11" s="6">
        <f t="shared" si="4"/>
        <v>-9693.5745650881727</v>
      </c>
      <c r="S11"/>
      <c r="T11"/>
    </row>
    <row r="12" spans="2:20" x14ac:dyDescent="0.2">
      <c r="B12" s="19" t="s">
        <v>4</v>
      </c>
      <c r="D12" s="20">
        <v>-616</v>
      </c>
      <c r="E12" s="20">
        <v>-665</v>
      </c>
      <c r="F12" s="20">
        <v>-754</v>
      </c>
      <c r="G12" s="20">
        <v>-794</v>
      </c>
      <c r="H12" s="20">
        <v>-797</v>
      </c>
      <c r="I12" s="32">
        <f>-VLOOKUP(I$2,'R&amp;D_Cap'!$A$4:$F$29,3,FALSE)</f>
        <v>-891.76723213540606</v>
      </c>
      <c r="J12" s="32">
        <f>-VLOOKUP(J$2,'R&amp;D_Cap'!$A$4:$F$29,3,FALSE)</f>
        <v>-990.54399321694086</v>
      </c>
      <c r="K12" s="32">
        <f>-VLOOKUP(K$2,'R&amp;D_Cap'!$A$4:$F$29,3,FALSE)</f>
        <v>-1098.483925720438</v>
      </c>
      <c r="L12" s="32">
        <f>-VLOOKUP(L$2,'R&amp;D_Cap'!$A$4:$F$29,3,FALSE)</f>
        <v>-1212.4417623304353</v>
      </c>
      <c r="M12" s="32">
        <f>-VLOOKUP(M$2,'R&amp;D_Cap'!$A$4:$F$29,3,FALSE)</f>
        <v>-1339.9090936605287</v>
      </c>
      <c r="N12" s="32">
        <f>-VLOOKUP(N$2,'R&amp;D_Cap'!$A$4:$F$29,3,FALSE)</f>
        <v>-1468.7320994591817</v>
      </c>
      <c r="O12" s="32">
        <f>-VLOOKUP(O$2,'R&amp;D_Cap'!$A$4:$F$29,3,FALSE)</f>
        <v>-1601.9237760041005</v>
      </c>
      <c r="P12" s="32">
        <f>-VLOOKUP(P$2,'R&amp;D_Cap'!$A$4:$F$29,3,FALSE)</f>
        <v>-1741.8190253659236</v>
      </c>
      <c r="Q12" s="32">
        <f>-VLOOKUP(Q$2,'R&amp;D_Cap'!$A$4:$F$29,3,FALSE)</f>
        <v>-1890.3545528009761</v>
      </c>
      <c r="R12" s="32">
        <f>-VLOOKUP(R$2,'R&amp;D_Cap'!$A$4:$F$29,3,FALSE)</f>
        <v>-1977.5722967558606</v>
      </c>
    </row>
    <row r="13" spans="2:20" ht="15" x14ac:dyDescent="0.25">
      <c r="B13" s="7" t="s">
        <v>10</v>
      </c>
      <c r="C13" s="5"/>
      <c r="D13" s="8">
        <f>SUM(D8:D12)</f>
        <v>3812</v>
      </c>
      <c r="E13" s="8">
        <f>SUM(E8:E12)</f>
        <v>4176</v>
      </c>
      <c r="F13" s="8">
        <f>SUM(F8:F12)</f>
        <v>4922</v>
      </c>
      <c r="G13" s="8">
        <f>SUM(G8:G12)</f>
        <v>5791</v>
      </c>
      <c r="H13" s="8">
        <f>SUM(H8:H12)</f>
        <v>6531</v>
      </c>
      <c r="I13" s="8">
        <f t="shared" ref="I13:R13" si="5">SUM(I8:I12)</f>
        <v>7178.5965548904433</v>
      </c>
      <c r="J13" s="8">
        <f t="shared" si="5"/>
        <v>8028.3077982520317</v>
      </c>
      <c r="K13" s="8">
        <f t="shared" si="5"/>
        <v>8978.3953406999317</v>
      </c>
      <c r="L13" s="8">
        <f t="shared" si="5"/>
        <v>10044.48365540438</v>
      </c>
      <c r="M13" s="8">
        <f t="shared" si="5"/>
        <v>11232.966591790631</v>
      </c>
      <c r="N13" s="8">
        <f t="shared" si="5"/>
        <v>12494.308202527902</v>
      </c>
      <c r="O13" s="8">
        <f t="shared" si="5"/>
        <v>13816.665769067924</v>
      </c>
      <c r="P13" s="8">
        <f t="shared" si="5"/>
        <v>15186.627745155227</v>
      </c>
      <c r="Q13" s="8">
        <f t="shared" si="5"/>
        <v>16588.95268861661</v>
      </c>
      <c r="R13" s="8">
        <f t="shared" si="5"/>
        <v>17511.650788456725</v>
      </c>
    </row>
    <row r="14" spans="2:20" ht="3.95" customHeight="1" x14ac:dyDescent="0.25">
      <c r="B14" s="7"/>
      <c r="M14" s="6"/>
      <c r="N14" s="6"/>
      <c r="O14" s="6"/>
      <c r="P14" s="6"/>
      <c r="Q14" s="6"/>
    </row>
    <row r="15" spans="2:20" x14ac:dyDescent="0.2">
      <c r="B15" s="1" t="s">
        <v>6</v>
      </c>
      <c r="D15" s="20">
        <v>617</v>
      </c>
      <c r="E15" s="20">
        <v>24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</row>
    <row r="16" spans="2:20" x14ac:dyDescent="0.2">
      <c r="B16" s="1" t="s">
        <v>69</v>
      </c>
      <c r="D16" s="20">
        <v>-40</v>
      </c>
      <c r="E16" s="20">
        <v>36</v>
      </c>
      <c r="F16" s="20">
        <v>93</v>
      </c>
      <c r="G16" s="20">
        <v>64</v>
      </c>
      <c r="H16" s="20">
        <v>-37</v>
      </c>
      <c r="M16" s="6"/>
      <c r="N16" s="6"/>
      <c r="O16" s="6"/>
      <c r="P16" s="6"/>
      <c r="Q16" s="6"/>
    </row>
    <row r="17" spans="2:18" ht="15" x14ac:dyDescent="0.25">
      <c r="B17" s="1" t="s">
        <v>68</v>
      </c>
      <c r="C17" s="5"/>
      <c r="D17" s="20">
        <v>-78</v>
      </c>
      <c r="E17" s="20">
        <v>-33</v>
      </c>
      <c r="F17" s="20">
        <v>-57</v>
      </c>
      <c r="G17" s="20">
        <v>-202</v>
      </c>
      <c r="H17" s="20">
        <v>-133</v>
      </c>
      <c r="N17" s="6"/>
      <c r="O17" s="6"/>
      <c r="P17" s="6"/>
      <c r="Q17" s="6"/>
    </row>
    <row r="18" spans="2:18" ht="15" x14ac:dyDescent="0.25">
      <c r="B18" s="1" t="s">
        <v>96</v>
      </c>
      <c r="C18" s="5"/>
      <c r="D18" s="20">
        <v>-349</v>
      </c>
      <c r="E18" s="20">
        <v>-194</v>
      </c>
      <c r="F18" s="20">
        <v>-54</v>
      </c>
      <c r="G18" s="20">
        <v>-36</v>
      </c>
      <c r="H18" s="20">
        <v>-183</v>
      </c>
      <c r="M18" s="6"/>
      <c r="N18" s="6"/>
      <c r="O18" s="6"/>
      <c r="P18" s="6"/>
      <c r="Q18" s="6"/>
    </row>
    <row r="19" spans="2:18" ht="15" x14ac:dyDescent="0.25">
      <c r="B19" s="7" t="s">
        <v>67</v>
      </c>
      <c r="D19" s="8">
        <f>SUM(D13:D18)</f>
        <v>3962</v>
      </c>
      <c r="E19" s="8">
        <f t="shared" ref="E19:R19" si="6">SUM(E13:E18)</f>
        <v>4009</v>
      </c>
      <c r="F19" s="8">
        <f t="shared" si="6"/>
        <v>4904</v>
      </c>
      <c r="G19" s="8">
        <f t="shared" si="6"/>
        <v>5617</v>
      </c>
      <c r="H19" s="8">
        <f t="shared" si="6"/>
        <v>6178</v>
      </c>
      <c r="I19" s="8">
        <f t="shared" si="6"/>
        <v>7178.5965548904433</v>
      </c>
      <c r="J19" s="8">
        <f t="shared" si="6"/>
        <v>8028.3077982520317</v>
      </c>
      <c r="K19" s="8">
        <f t="shared" si="6"/>
        <v>8978.3953406999317</v>
      </c>
      <c r="L19" s="8">
        <f t="shared" si="6"/>
        <v>10044.48365540438</v>
      </c>
      <c r="M19" s="8">
        <f t="shared" si="6"/>
        <v>11232.966591790631</v>
      </c>
      <c r="N19" s="8">
        <f t="shared" si="6"/>
        <v>12494.308202527902</v>
      </c>
      <c r="O19" s="8">
        <f t="shared" si="6"/>
        <v>13816.665769067924</v>
      </c>
      <c r="P19" s="8">
        <f t="shared" si="6"/>
        <v>15186.627745155227</v>
      </c>
      <c r="Q19" s="8">
        <f t="shared" si="6"/>
        <v>16588.95268861661</v>
      </c>
      <c r="R19" s="8">
        <f t="shared" si="6"/>
        <v>17511.650788456725</v>
      </c>
    </row>
    <row r="20" spans="2:18" ht="3.95" customHeight="1" x14ac:dyDescent="0.25">
      <c r="B20" s="7"/>
      <c r="C20" s="5"/>
      <c r="M20" s="6"/>
      <c r="N20" s="6"/>
      <c r="O20" s="6"/>
      <c r="P20" s="6"/>
      <c r="Q20" s="6"/>
    </row>
    <row r="21" spans="2:18" ht="15" x14ac:dyDescent="0.25">
      <c r="B21" s="19" t="s">
        <v>66</v>
      </c>
      <c r="C21" s="5"/>
      <c r="D21" s="20">
        <v>-426</v>
      </c>
      <c r="E21" s="20">
        <v>-408</v>
      </c>
      <c r="F21" s="20">
        <v>-429</v>
      </c>
      <c r="G21" s="20">
        <v>-446</v>
      </c>
      <c r="H21" s="20">
        <v>-477</v>
      </c>
      <c r="I21" s="6">
        <f t="shared" ref="I21:R21" si="7">-I$6*I60</f>
        <v>-575.72828681947578</v>
      </c>
      <c r="J21" s="6">
        <f t="shared" si="7"/>
        <v>-616.67395308766493</v>
      </c>
      <c r="K21" s="6">
        <f t="shared" si="7"/>
        <v>-671.06683676838384</v>
      </c>
      <c r="L21" s="6">
        <f t="shared" si="7"/>
        <v>-737.70047569929181</v>
      </c>
      <c r="M21" s="6">
        <f t="shared" si="7"/>
        <v>-815.59870309575592</v>
      </c>
      <c r="N21" s="6">
        <f t="shared" si="7"/>
        <v>-902.70404055920415</v>
      </c>
      <c r="O21" s="6">
        <f t="shared" si="7"/>
        <v>-977.78074962362871</v>
      </c>
      <c r="P21" s="6">
        <f t="shared" si="7"/>
        <v>-1058.023707352635</v>
      </c>
      <c r="Q21" s="6">
        <f t="shared" si="7"/>
        <v>-1140.9643305720299</v>
      </c>
      <c r="R21" s="6">
        <f t="shared" si="7"/>
        <v>-1189.6510033942266</v>
      </c>
    </row>
    <row r="22" spans="2:18" x14ac:dyDescent="0.2">
      <c r="B22" s="19" t="s">
        <v>65</v>
      </c>
      <c r="D22" s="20">
        <v>-496</v>
      </c>
      <c r="E22" s="20">
        <v>-546</v>
      </c>
      <c r="F22" s="20">
        <v>-497</v>
      </c>
      <c r="G22" s="20">
        <v>-475</v>
      </c>
      <c r="H22" s="20">
        <v>-529</v>
      </c>
      <c r="I22" s="6">
        <f t="shared" ref="I22:R22" si="8">-I$6*I61</f>
        <v>-673.78357033502755</v>
      </c>
      <c r="J22" s="6">
        <f t="shared" si="8"/>
        <v>-722.57053503965801</v>
      </c>
      <c r="K22" s="6">
        <f t="shared" si="8"/>
        <v>-762.24968850623725</v>
      </c>
      <c r="L22" s="6">
        <f t="shared" si="8"/>
        <v>-834.54823269086353</v>
      </c>
      <c r="M22" s="6">
        <f t="shared" si="8"/>
        <v>-933.27353329912341</v>
      </c>
      <c r="N22" s="6">
        <f t="shared" si="8"/>
        <v>-1038.9403648800626</v>
      </c>
      <c r="O22" s="6">
        <f t="shared" si="8"/>
        <v>-1121.4126413277852</v>
      </c>
      <c r="P22" s="6">
        <f t="shared" si="8"/>
        <v>-1208.1366476020523</v>
      </c>
      <c r="Q22" s="6">
        <f t="shared" si="8"/>
        <v>-1304.2104896969195</v>
      </c>
      <c r="R22" s="6">
        <f t="shared" si="8"/>
        <v>-1362.6503661070535</v>
      </c>
    </row>
    <row r="23" spans="2:18" ht="15" x14ac:dyDescent="0.25">
      <c r="B23" s="1" t="s">
        <v>64</v>
      </c>
      <c r="C23" s="5"/>
      <c r="D23" s="6">
        <f>SUM(D21:D22)</f>
        <v>-922</v>
      </c>
      <c r="E23" s="6">
        <f>SUM(E21:E22)</f>
        <v>-954</v>
      </c>
      <c r="F23" s="6">
        <f>SUM(F21:F22)</f>
        <v>-926</v>
      </c>
      <c r="G23" s="6">
        <f>SUM(G21:G22)</f>
        <v>-921</v>
      </c>
      <c r="H23" s="6">
        <f>SUM(H21:H22)</f>
        <v>-1006</v>
      </c>
      <c r="I23" s="6">
        <f t="shared" ref="I23:R23" si="9">SUM(I21:I22)</f>
        <v>-1249.5118571545033</v>
      </c>
      <c r="J23" s="6">
        <f t="shared" si="9"/>
        <v>-1339.2444881273229</v>
      </c>
      <c r="K23" s="6">
        <f t="shared" si="9"/>
        <v>-1433.3165252746212</v>
      </c>
      <c r="L23" s="6">
        <f t="shared" si="9"/>
        <v>-1572.2487083901553</v>
      </c>
      <c r="M23" s="6">
        <f t="shared" si="9"/>
        <v>-1748.8722363948793</v>
      </c>
      <c r="N23" s="6">
        <f t="shared" si="9"/>
        <v>-1941.6444054392668</v>
      </c>
      <c r="O23" s="6">
        <f t="shared" si="9"/>
        <v>-2099.1933909514137</v>
      </c>
      <c r="P23" s="6">
        <f t="shared" si="9"/>
        <v>-2266.1603549546871</v>
      </c>
      <c r="Q23" s="6">
        <f t="shared" si="9"/>
        <v>-2445.1748202689496</v>
      </c>
      <c r="R23" s="6">
        <f t="shared" si="9"/>
        <v>-2552.3013695012801</v>
      </c>
    </row>
    <row r="24" spans="2:18" ht="15" x14ac:dyDescent="0.25">
      <c r="B24" s="7" t="s">
        <v>11</v>
      </c>
      <c r="C24" s="5"/>
      <c r="D24" s="8">
        <f>SUM(D19,D23)</f>
        <v>3040</v>
      </c>
      <c r="E24" s="8">
        <f>SUM(E19,E23)</f>
        <v>3055</v>
      </c>
      <c r="F24" s="8">
        <f>SUM(F19,F23)</f>
        <v>3978</v>
      </c>
      <c r="G24" s="8">
        <f>SUM(G19,G23)</f>
        <v>4696</v>
      </c>
      <c r="H24" s="8">
        <f>SUM(H19,H23)</f>
        <v>5172</v>
      </c>
      <c r="I24" s="8">
        <f t="shared" ref="I24:R24" si="10">SUM(I19,I23)</f>
        <v>5929.0846977359397</v>
      </c>
      <c r="J24" s="8">
        <f t="shared" si="10"/>
        <v>6689.0633101247086</v>
      </c>
      <c r="K24" s="8">
        <f t="shared" si="10"/>
        <v>7545.0788154253105</v>
      </c>
      <c r="L24" s="8">
        <f t="shared" si="10"/>
        <v>8472.2349470142235</v>
      </c>
      <c r="M24" s="8">
        <f t="shared" si="10"/>
        <v>9484.0943553957513</v>
      </c>
      <c r="N24" s="8">
        <f t="shared" si="10"/>
        <v>10552.663797088635</v>
      </c>
      <c r="O24" s="8">
        <f t="shared" si="10"/>
        <v>11717.47237811651</v>
      </c>
      <c r="P24" s="8">
        <f t="shared" si="10"/>
        <v>12920.46739020054</v>
      </c>
      <c r="Q24" s="8">
        <f t="shared" si="10"/>
        <v>14143.777868347661</v>
      </c>
      <c r="R24" s="8">
        <f t="shared" si="10"/>
        <v>14959.349418955446</v>
      </c>
    </row>
    <row r="25" spans="2:18" ht="3.95" customHeight="1" x14ac:dyDescent="0.25">
      <c r="B25" s="7"/>
    </row>
    <row r="26" spans="2:18" ht="15" customHeight="1" x14ac:dyDescent="0.2">
      <c r="B26" s="31" t="s">
        <v>102</v>
      </c>
      <c r="D26" s="32">
        <f>VLOOKUP(D$2,'R&amp;D_Cap'!$A$4:$F$24,6,FALSE)</f>
        <v>568.4</v>
      </c>
      <c r="E26" s="32">
        <f>VLOOKUP(E$2,'R&amp;D_Cap'!$A$4:$F$24,6,FALSE)</f>
        <v>588.30000000000007</v>
      </c>
      <c r="F26" s="32">
        <f>VLOOKUP(F$2,'R&amp;D_Cap'!$A$4:$F$24,6,FALSE)</f>
        <v>610.9</v>
      </c>
      <c r="G26" s="32">
        <f>VLOOKUP(G$2,'R&amp;D_Cap'!$A$4:$F$24,6,FALSE)</f>
        <v>621.90000000000009</v>
      </c>
      <c r="H26" s="32">
        <f>VLOOKUP(H$2,'R&amp;D_Cap'!$A$4:$F$24,6,FALSE)</f>
        <v>636.6</v>
      </c>
      <c r="I26" s="32">
        <f>VLOOKUP(I$2,'R&amp;D_Cap'!$A$4:$F$29,6,FALSE)</f>
        <v>653.80000000000007</v>
      </c>
      <c r="J26" s="32">
        <f>VLOOKUP(J$2,'R&amp;D_Cap'!$A$4:$F$29,6,FALSE)</f>
        <v>684.27672321354066</v>
      </c>
      <c r="K26" s="32">
        <f>VLOOKUP(K$2,'R&amp;D_Cap'!$A$4:$F$29,6,FALSE)</f>
        <v>724.93112253523475</v>
      </c>
      <c r="L26" s="32">
        <f>VLOOKUP(L$2,'R&amp;D_Cap'!$A$4:$F$29,6,FALSE)</f>
        <v>776.37951510727862</v>
      </c>
      <c r="M26" s="32">
        <f>VLOOKUP(M$2,'R&amp;D_Cap'!$A$4:$F$29,6,FALSE)</f>
        <v>837.02369134032199</v>
      </c>
      <c r="N26" s="32">
        <f>VLOOKUP(N$2,'R&amp;D_Cap'!$A$4:$F$29,6,FALSE)</f>
        <v>915.91460070637504</v>
      </c>
      <c r="O26" s="32">
        <f>VLOOKUP(O$2,'R&amp;D_Cap'!$A$4:$F$29,6,FALSE)</f>
        <v>1001.1878106522931</v>
      </c>
      <c r="P26" s="32">
        <f>VLOOKUP(P$2,'R&amp;D_Cap'!$A$4:$F$29,6,FALSE)</f>
        <v>1094.880188252703</v>
      </c>
      <c r="Q26" s="32">
        <f>VLOOKUP(Q$2,'R&amp;D_Cap'!$A$4:$F$29,6,FALSE)</f>
        <v>1193.6620907892955</v>
      </c>
      <c r="R26" s="32">
        <f>VLOOKUP(R$2,'R&amp;D_Cap'!$A$4:$F$29,6,FALSE)</f>
        <v>1303.2975460693931</v>
      </c>
    </row>
    <row r="27" spans="2:18" ht="15" customHeight="1" x14ac:dyDescent="0.2">
      <c r="B27" s="31" t="s">
        <v>104</v>
      </c>
      <c r="D27" s="6">
        <f>-(D12+D26)</f>
        <v>47.600000000000023</v>
      </c>
      <c r="E27" s="6">
        <f t="shared" ref="E27:R27" si="11">-(E12+E26)</f>
        <v>76.699999999999932</v>
      </c>
      <c r="F27" s="6">
        <f t="shared" si="11"/>
        <v>143.10000000000002</v>
      </c>
      <c r="G27" s="6">
        <f t="shared" si="11"/>
        <v>172.09999999999991</v>
      </c>
      <c r="H27" s="6">
        <f>-(H12+H26)</f>
        <v>160.39999999999998</v>
      </c>
      <c r="I27" s="6">
        <f>-(I12+I26)</f>
        <v>237.96723213540599</v>
      </c>
      <c r="J27" s="6">
        <f t="shared" si="11"/>
        <v>306.2672700034002</v>
      </c>
      <c r="K27" s="6">
        <f t="shared" si="11"/>
        <v>373.55280318520329</v>
      </c>
      <c r="L27" s="6">
        <f t="shared" si="11"/>
        <v>436.06224722315665</v>
      </c>
      <c r="M27" s="6">
        <f t="shared" si="11"/>
        <v>502.88540232020671</v>
      </c>
      <c r="N27" s="6">
        <f t="shared" si="11"/>
        <v>552.81749875280661</v>
      </c>
      <c r="O27" s="6">
        <f t="shared" si="11"/>
        <v>600.73596535180741</v>
      </c>
      <c r="P27" s="6">
        <f t="shared" si="11"/>
        <v>646.93883711322064</v>
      </c>
      <c r="Q27" s="6">
        <f t="shared" si="11"/>
        <v>696.69246201168062</v>
      </c>
      <c r="R27" s="6">
        <f t="shared" si="11"/>
        <v>674.27475068646754</v>
      </c>
    </row>
    <row r="28" spans="2:18" ht="15" customHeight="1" x14ac:dyDescent="0.25">
      <c r="B28" s="7" t="s">
        <v>103</v>
      </c>
      <c r="D28" s="8">
        <f>D24+D27</f>
        <v>3087.6</v>
      </c>
      <c r="E28" s="8">
        <f>E24+E27</f>
        <v>3131.7</v>
      </c>
      <c r="F28" s="8">
        <f>F24+F27</f>
        <v>4121.1000000000004</v>
      </c>
      <c r="G28" s="8">
        <f>G24+G27</f>
        <v>4868.1000000000004</v>
      </c>
      <c r="H28" s="8">
        <f>H24+H27</f>
        <v>5332.4</v>
      </c>
      <c r="I28" s="8">
        <f t="shared" ref="I28:R28" si="12">I24+I27</f>
        <v>6167.0519298713461</v>
      </c>
      <c r="J28" s="8">
        <f t="shared" si="12"/>
        <v>6995.3305801281085</v>
      </c>
      <c r="K28" s="8">
        <f t="shared" si="12"/>
        <v>7918.6316186105141</v>
      </c>
      <c r="L28" s="8">
        <f t="shared" si="12"/>
        <v>8908.2971942373806</v>
      </c>
      <c r="M28" s="8">
        <f t="shared" si="12"/>
        <v>9986.9797577159588</v>
      </c>
      <c r="N28" s="8">
        <f t="shared" si="12"/>
        <v>11105.481295841442</v>
      </c>
      <c r="O28" s="8">
        <f t="shared" si="12"/>
        <v>12318.208343468317</v>
      </c>
      <c r="P28" s="8">
        <f t="shared" si="12"/>
        <v>13567.406227313761</v>
      </c>
      <c r="Q28" s="8">
        <f t="shared" si="12"/>
        <v>14840.470330359341</v>
      </c>
      <c r="R28" s="8">
        <f t="shared" si="12"/>
        <v>15633.624169641913</v>
      </c>
    </row>
    <row r="29" spans="2:18" ht="15" customHeight="1" x14ac:dyDescent="0.25">
      <c r="B29" s="7"/>
    </row>
    <row r="30" spans="2:18" ht="15" x14ac:dyDescent="0.25">
      <c r="B30" s="1" t="s">
        <v>5</v>
      </c>
      <c r="C30" s="5"/>
      <c r="D30" s="20">
        <v>-144</v>
      </c>
      <c r="E30" s="20">
        <v>-144</v>
      </c>
      <c r="F30" s="20">
        <v>-151</v>
      </c>
      <c r="G30" s="20">
        <v>-130</v>
      </c>
      <c r="H30" s="20">
        <v>-241</v>
      </c>
      <c r="I30" s="6">
        <f>-I51*I6</f>
        <v>-210.4788502433311</v>
      </c>
      <c r="J30" s="6">
        <f t="shared" ref="J30:R30" si="13">-J51*J6</f>
        <v>-231.95777168260977</v>
      </c>
      <c r="K30" s="6">
        <f t="shared" si="13"/>
        <v>-255.62857162018582</v>
      </c>
      <c r="L30" s="6">
        <f t="shared" si="13"/>
        <v>-281.71492662030761</v>
      </c>
      <c r="M30" s="6">
        <f t="shared" si="13"/>
        <v>-310.46333896745966</v>
      </c>
      <c r="N30" s="6">
        <f t="shared" si="13"/>
        <v>-340.26567613800745</v>
      </c>
      <c r="O30" s="6">
        <f t="shared" si="13"/>
        <v>-370.86859523590272</v>
      </c>
      <c r="P30" s="6">
        <f t="shared" si="13"/>
        <v>-401.97835819578762</v>
      </c>
      <c r="Q30" s="6">
        <f t="shared" si="13"/>
        <v>-433.26382362881941</v>
      </c>
      <c r="R30" s="6">
        <f t="shared" si="13"/>
        <v>-451.24427230941546</v>
      </c>
    </row>
    <row r="31" spans="2:18" ht="15" x14ac:dyDescent="0.25">
      <c r="B31" s="7" t="s">
        <v>105</v>
      </c>
      <c r="D31" s="8">
        <f>SUM(D28:D30)</f>
        <v>2943.6</v>
      </c>
      <c r="E31" s="8">
        <f t="shared" ref="E31:R31" si="14">SUM(E28:E30)</f>
        <v>2987.7</v>
      </c>
      <c r="F31" s="8">
        <f t="shared" si="14"/>
        <v>3970.1000000000004</v>
      </c>
      <c r="G31" s="8">
        <f t="shared" si="14"/>
        <v>4738.1000000000004</v>
      </c>
      <c r="H31" s="8">
        <f t="shared" si="14"/>
        <v>5091.3999999999996</v>
      </c>
      <c r="I31" s="8">
        <f t="shared" si="14"/>
        <v>5956.573079628015</v>
      </c>
      <c r="J31" s="8">
        <f t="shared" si="14"/>
        <v>6763.3728084454988</v>
      </c>
      <c r="K31" s="8">
        <f t="shared" si="14"/>
        <v>7663.0030469903286</v>
      </c>
      <c r="L31" s="8">
        <f t="shared" si="14"/>
        <v>8626.5822676170737</v>
      </c>
      <c r="M31" s="8">
        <f t="shared" si="14"/>
        <v>9676.5164187484988</v>
      </c>
      <c r="N31" s="8">
        <f t="shared" si="14"/>
        <v>10765.215619703435</v>
      </c>
      <c r="O31" s="8">
        <f t="shared" si="14"/>
        <v>11947.339748232414</v>
      </c>
      <c r="P31" s="8">
        <f t="shared" si="14"/>
        <v>13165.427869117973</v>
      </c>
      <c r="Q31" s="8">
        <f t="shared" si="14"/>
        <v>14407.206506730523</v>
      </c>
      <c r="R31" s="8">
        <f t="shared" si="14"/>
        <v>15182.379897332497</v>
      </c>
    </row>
    <row r="32" spans="2:18" ht="3.95" customHeight="1" x14ac:dyDescent="0.25">
      <c r="B32" s="7"/>
      <c r="C32" s="5"/>
    </row>
    <row r="33" spans="2:21" x14ac:dyDescent="0.2">
      <c r="B33" s="1" t="s">
        <v>7</v>
      </c>
      <c r="D33" s="20">
        <v>-750</v>
      </c>
      <c r="E33" s="20">
        <v>-445</v>
      </c>
      <c r="F33" s="20">
        <v>-604</v>
      </c>
      <c r="G33" s="20">
        <v>-768</v>
      </c>
      <c r="H33" s="20">
        <v>-841</v>
      </c>
      <c r="I33" s="6">
        <f>-I48*I31</f>
        <v>-1209.6451203208444</v>
      </c>
      <c r="J33" s="6">
        <f t="shared" ref="J33:R33" si="15">-J48*J31</f>
        <v>-1408.7495799861117</v>
      </c>
      <c r="K33" s="6">
        <f t="shared" si="15"/>
        <v>-1636.0864871736269</v>
      </c>
      <c r="L33" s="6">
        <f t="shared" si="15"/>
        <v>-1886.7908759805048</v>
      </c>
      <c r="M33" s="6">
        <f t="shared" si="15"/>
        <v>-2166.8803706391923</v>
      </c>
      <c r="N33" s="6">
        <f t="shared" si="15"/>
        <v>-2466.8006316973369</v>
      </c>
      <c r="O33" s="6">
        <f t="shared" si="15"/>
        <v>-2799.9680194827019</v>
      </c>
      <c r="P33" s="6">
        <f t="shared" si="15"/>
        <v>-3154.0777081134611</v>
      </c>
      <c r="Q33" s="6">
        <f t="shared" si="15"/>
        <v>-3526.6878265252003</v>
      </c>
      <c r="R33" s="6">
        <f t="shared" si="15"/>
        <v>-3795.5949743331262</v>
      </c>
    </row>
    <row r="34" spans="2:21" ht="15" x14ac:dyDescent="0.25">
      <c r="B34" s="7" t="s">
        <v>106</v>
      </c>
      <c r="C34" s="5"/>
      <c r="D34" s="8">
        <f>SUM(D31:D33)</f>
        <v>2193.6</v>
      </c>
      <c r="E34" s="8">
        <f>SUM(E31:E33)</f>
        <v>2542.6999999999998</v>
      </c>
      <c r="F34" s="8">
        <f>SUM(F31:F33)</f>
        <v>3366.1000000000004</v>
      </c>
      <c r="G34" s="8">
        <f>SUM(G31:G33)</f>
        <v>3970.1000000000004</v>
      </c>
      <c r="H34" s="8">
        <f>SUM(H31:H33)</f>
        <v>4250.3999999999996</v>
      </c>
      <c r="I34" s="8">
        <f t="shared" ref="I34:R34" si="16">SUM(I31:I33)</f>
        <v>4746.9279593071706</v>
      </c>
      <c r="J34" s="8">
        <f t="shared" si="16"/>
        <v>5354.6232284593871</v>
      </c>
      <c r="K34" s="8">
        <f t="shared" si="16"/>
        <v>6026.9165598167019</v>
      </c>
      <c r="L34" s="8">
        <f t="shared" si="16"/>
        <v>6739.7913916365687</v>
      </c>
      <c r="M34" s="8">
        <f t="shared" si="16"/>
        <v>7509.636048109307</v>
      </c>
      <c r="N34" s="8">
        <f t="shared" si="16"/>
        <v>8298.4149880060977</v>
      </c>
      <c r="O34" s="8">
        <f t="shared" si="16"/>
        <v>9147.3717287497129</v>
      </c>
      <c r="P34" s="8">
        <f t="shared" si="16"/>
        <v>10011.350161004513</v>
      </c>
      <c r="Q34" s="8">
        <f t="shared" si="16"/>
        <v>10880.518680205323</v>
      </c>
      <c r="R34" s="8">
        <f t="shared" si="16"/>
        <v>11386.784922999372</v>
      </c>
    </row>
    <row r="35" spans="2:21" ht="3.95" customHeight="1" x14ac:dyDescent="0.25">
      <c r="B35" s="7"/>
    </row>
    <row r="36" spans="2:21" x14ac:dyDescent="0.2">
      <c r="B36" s="1" t="s">
        <v>8</v>
      </c>
      <c r="D36" s="20">
        <v>-2</v>
      </c>
      <c r="E36" s="20">
        <v>-4</v>
      </c>
      <c r="F36" s="20">
        <v>-5</v>
      </c>
      <c r="G36" s="20">
        <v>-4</v>
      </c>
      <c r="H36" s="20">
        <v>-3</v>
      </c>
      <c r="I36" s="6">
        <v>-5</v>
      </c>
      <c r="J36" s="6">
        <v>-5</v>
      </c>
      <c r="K36" s="6">
        <v>-5</v>
      </c>
      <c r="L36" s="6">
        <v>-5</v>
      </c>
      <c r="M36" s="6">
        <v>-5</v>
      </c>
      <c r="N36" s="6">
        <v>-5</v>
      </c>
      <c r="O36" s="6">
        <v>-5</v>
      </c>
      <c r="P36" s="6">
        <v>-5</v>
      </c>
      <c r="Q36" s="6">
        <v>-5</v>
      </c>
      <c r="R36" s="6">
        <v>-5</v>
      </c>
    </row>
    <row r="37" spans="2:21" ht="15" x14ac:dyDescent="0.25">
      <c r="B37" s="7" t="s">
        <v>107</v>
      </c>
      <c r="D37" s="8">
        <f>SUM(D34:D36)</f>
        <v>2191.6</v>
      </c>
      <c r="E37" s="8">
        <f>SUM(E34:E36)</f>
        <v>2538.6999999999998</v>
      </c>
      <c r="F37" s="8">
        <f>SUM(F34:F36)</f>
        <v>3361.1000000000004</v>
      </c>
      <c r="G37" s="8">
        <f>SUM(G34:G36)</f>
        <v>3966.1000000000004</v>
      </c>
      <c r="H37" s="8">
        <f>SUM(H34:H36)</f>
        <v>4247.3999999999996</v>
      </c>
      <c r="I37" s="8">
        <f t="shared" ref="I37:R37" si="17">SUM(I34:I36)</f>
        <v>4741.9279593071706</v>
      </c>
      <c r="J37" s="8">
        <f t="shared" si="17"/>
        <v>5349.6232284593871</v>
      </c>
      <c r="K37" s="8">
        <f t="shared" si="17"/>
        <v>6021.9165598167019</v>
      </c>
      <c r="L37" s="8">
        <f t="shared" si="17"/>
        <v>6734.7913916365687</v>
      </c>
      <c r="M37" s="8">
        <f t="shared" si="17"/>
        <v>7504.636048109307</v>
      </c>
      <c r="N37" s="8">
        <f t="shared" si="17"/>
        <v>8293.4149880060977</v>
      </c>
      <c r="O37" s="8">
        <f t="shared" si="17"/>
        <v>9142.3717287497129</v>
      </c>
      <c r="P37" s="8">
        <f t="shared" si="17"/>
        <v>10006.350161004513</v>
      </c>
      <c r="Q37" s="8">
        <f t="shared" si="17"/>
        <v>10875.518680205323</v>
      </c>
      <c r="R37" s="8">
        <f t="shared" si="17"/>
        <v>11381.784922999372</v>
      </c>
      <c r="U37" s="241"/>
    </row>
    <row r="38" spans="2:21" ht="3.95" customHeight="1" x14ac:dyDescent="0.2"/>
    <row r="39" spans="2:21" x14ac:dyDescent="0.2">
      <c r="B39" s="1" t="s">
        <v>158</v>
      </c>
      <c r="D39" s="6">
        <f t="shared" ref="D39:K39" si="18">-(D12+D26)*D48</f>
        <v>16.274617067833706</v>
      </c>
      <c r="E39" s="6">
        <f t="shared" si="18"/>
        <v>13.423329531600256</v>
      </c>
      <c r="F39" s="6">
        <f t="shared" si="18"/>
        <v>25.67731202281572</v>
      </c>
      <c r="G39" s="6">
        <f t="shared" si="18"/>
        <v>33.292058134555781</v>
      </c>
      <c r="H39" s="6">
        <f t="shared" si="18"/>
        <v>31.737342367777149</v>
      </c>
      <c r="I39" s="6" t="s">
        <v>370</v>
      </c>
      <c r="J39" s="6">
        <f t="shared" si="18"/>
        <v>63.79271115175284</v>
      </c>
      <c r="K39" s="6">
        <f t="shared" si="18"/>
        <v>79.755246055549676</v>
      </c>
      <c r="L39" s="6">
        <f t="shared" ref="L39:R39" si="19">-(L12+L26)*L48</f>
        <v>95.374766494573549</v>
      </c>
      <c r="M39" s="6">
        <f t="shared" si="19"/>
        <v>112.61206614162734</v>
      </c>
      <c r="N39" s="6">
        <f t="shared" si="19"/>
        <v>126.67563784238746</v>
      </c>
      <c r="O39" s="6">
        <f t="shared" si="19"/>
        <v>140.78795167660516</v>
      </c>
      <c r="P39" s="6">
        <f t="shared" si="19"/>
        <v>154.9889137623872</v>
      </c>
      <c r="Q39" s="6">
        <f t="shared" si="19"/>
        <v>170.54082090519321</v>
      </c>
      <c r="R39" s="6">
        <f t="shared" si="19"/>
        <v>168.56868767161697</v>
      </c>
    </row>
    <row r="40" spans="2:21" ht="15" x14ac:dyDescent="0.25">
      <c r="B40" s="5" t="s">
        <v>113</v>
      </c>
      <c r="D40" s="8">
        <f>D28-D15-D16+D39</f>
        <v>2526.8746170678337</v>
      </c>
      <c r="E40" s="8">
        <f>E28-E15-E16+E39</f>
        <v>3085.1233295316001</v>
      </c>
      <c r="F40" s="8">
        <f>F28-F15-F16+F39</f>
        <v>4053.7773120228162</v>
      </c>
      <c r="G40" s="8">
        <f>G28-G15-G16+G39</f>
        <v>4837.3920581345565</v>
      </c>
      <c r="H40" s="8">
        <f>H28-H15-H16+H39</f>
        <v>5401.1373423677769</v>
      </c>
      <c r="I40" s="8">
        <f t="shared" ref="I40:R40" si="20">I6*I58</f>
        <v>6071.3582227371526</v>
      </c>
      <c r="J40" s="8">
        <f t="shared" si="20"/>
        <v>6824.7460362928969</v>
      </c>
      <c r="K40" s="8">
        <f t="shared" si="20"/>
        <v>7671.6208714987015</v>
      </c>
      <c r="L40" s="8">
        <f t="shared" si="20"/>
        <v>8623.5834246490158</v>
      </c>
      <c r="M40" s="8">
        <f t="shared" si="20"/>
        <v>9693.6739090123119</v>
      </c>
      <c r="N40" s="8">
        <f t="shared" si="20"/>
        <v>10836.683674919486</v>
      </c>
      <c r="O40" s="8">
        <f t="shared" si="20"/>
        <v>12047.542999609645</v>
      </c>
      <c r="P40" s="8">
        <f t="shared" si="20"/>
        <v>13319.295971231284</v>
      </c>
      <c r="Q40" s="8">
        <f t="shared" si="20"/>
        <v>14643.038269446988</v>
      </c>
      <c r="R40" s="8">
        <f t="shared" si="20"/>
        <v>15555.738844781619</v>
      </c>
    </row>
    <row r="41" spans="2:21" ht="3.95" customHeight="1" x14ac:dyDescent="0.25">
      <c r="B41" s="5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2:21" x14ac:dyDescent="0.2">
      <c r="B42" s="118" t="s">
        <v>282</v>
      </c>
      <c r="D42" s="222">
        <v>398.8</v>
      </c>
      <c r="E42" s="222">
        <v>397.8</v>
      </c>
      <c r="F42" s="222">
        <v>399.4</v>
      </c>
      <c r="G42" s="222">
        <v>392.9</v>
      </c>
      <c r="H42" s="222">
        <v>387.9</v>
      </c>
      <c r="I42" s="222">
        <v>387.9</v>
      </c>
      <c r="J42" s="222">
        <v>387.9</v>
      </c>
      <c r="K42" s="222">
        <v>387.9</v>
      </c>
      <c r="L42" s="222">
        <v>387.9</v>
      </c>
      <c r="M42" s="222">
        <v>387.9</v>
      </c>
      <c r="N42" s="222">
        <v>387.9</v>
      </c>
      <c r="O42" s="222">
        <v>387.9</v>
      </c>
      <c r="P42" s="222">
        <v>387.9</v>
      </c>
      <c r="Q42" s="222">
        <v>387.9</v>
      </c>
      <c r="R42" s="222">
        <v>387.9</v>
      </c>
    </row>
    <row r="43" spans="2:21" ht="15" x14ac:dyDescent="0.25">
      <c r="B43" s="5" t="s">
        <v>306</v>
      </c>
      <c r="D43" s="223">
        <f>D37/D42</f>
        <v>5.4954864593781343</v>
      </c>
      <c r="E43" s="223">
        <f>E37/E42</f>
        <v>6.3818501759678226</v>
      </c>
      <c r="F43" s="223">
        <f>F37/F42</f>
        <v>8.4153730595893848</v>
      </c>
      <c r="G43" s="223">
        <f>G37/G42</f>
        <v>10.094426062611353</v>
      </c>
      <c r="H43" s="223">
        <f>H37/H42</f>
        <v>10.949729311678267</v>
      </c>
      <c r="I43" s="223">
        <f>I34/I42</f>
        <v>12.237504406566567</v>
      </c>
      <c r="J43" s="223">
        <f t="shared" ref="J43:R43" si="21">J34/J42</f>
        <v>13.804133097343097</v>
      </c>
      <c r="K43" s="223">
        <f t="shared" si="21"/>
        <v>15.537294559981186</v>
      </c>
      <c r="L43" s="223">
        <f t="shared" si="21"/>
        <v>17.375074482177286</v>
      </c>
      <c r="M43" s="223">
        <f t="shared" si="21"/>
        <v>19.359721701751244</v>
      </c>
      <c r="N43" s="223">
        <f t="shared" si="21"/>
        <v>21.393181201356274</v>
      </c>
      <c r="O43" s="223">
        <f t="shared" si="21"/>
        <v>23.581778109692483</v>
      </c>
      <c r="P43" s="223">
        <f t="shared" si="21"/>
        <v>25.809100698645306</v>
      </c>
      <c r="Q43" s="223">
        <f t="shared" si="21"/>
        <v>28.049803248789182</v>
      </c>
      <c r="R43" s="223">
        <f t="shared" si="21"/>
        <v>29.354949530805293</v>
      </c>
    </row>
    <row r="44" spans="2:21" ht="3.95" customHeight="1" x14ac:dyDescent="0.25">
      <c r="B44" s="5"/>
      <c r="D44" s="223"/>
      <c r="E44" s="223"/>
      <c r="F44" s="223"/>
      <c r="G44" s="223"/>
      <c r="H44" s="223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2:21" x14ac:dyDescent="0.2">
      <c r="B45" s="118" t="s">
        <v>345</v>
      </c>
      <c r="D45" s="137">
        <v>172.82</v>
      </c>
      <c r="E45" s="137">
        <v>156.94999999999999</v>
      </c>
      <c r="F45" s="137">
        <v>240.82</v>
      </c>
      <c r="G45" s="137">
        <v>331.87</v>
      </c>
      <c r="H45" s="137">
        <v>318.51</v>
      </c>
      <c r="I45" s="137">
        <v>542.80999999999995</v>
      </c>
      <c r="J45" s="6"/>
      <c r="K45" s="6"/>
      <c r="L45" s="6"/>
      <c r="M45" s="6"/>
      <c r="N45" s="6"/>
      <c r="O45" s="6"/>
      <c r="P45" s="6"/>
      <c r="Q45" s="6"/>
      <c r="R45" s="6"/>
    </row>
    <row r="46" spans="2:21" ht="15" x14ac:dyDescent="0.25">
      <c r="B46" s="5" t="s">
        <v>290</v>
      </c>
      <c r="D46" s="223">
        <f t="shared" ref="D46:I46" si="22">D45/D43</f>
        <v>31.447625479102026</v>
      </c>
      <c r="E46" s="223">
        <f t="shared" si="22"/>
        <v>24.593181549612005</v>
      </c>
      <c r="F46" s="223">
        <f t="shared" si="22"/>
        <v>28.616675493142122</v>
      </c>
      <c r="G46" s="223">
        <f t="shared" si="22"/>
        <v>32.876559592546833</v>
      </c>
      <c r="H46" s="223">
        <f t="shared" si="22"/>
        <v>29.088390309365732</v>
      </c>
      <c r="I46" s="8">
        <f t="shared" si="22"/>
        <v>44.35626594820522</v>
      </c>
      <c r="J46" s="8"/>
      <c r="K46" s="8"/>
      <c r="L46" s="8"/>
      <c r="M46" s="8"/>
      <c r="N46" s="8"/>
      <c r="O46" s="8"/>
      <c r="P46" s="8"/>
      <c r="Q46" s="8"/>
      <c r="R46" s="8"/>
    </row>
    <row r="48" spans="2:21" x14ac:dyDescent="0.2">
      <c r="B48" s="1" t="s">
        <v>97</v>
      </c>
      <c r="D48" s="28">
        <f>-D33/D34</f>
        <v>0.34190371991247265</v>
      </c>
      <c r="E48" s="28">
        <f>-E33/E34</f>
        <v>0.17501081527510129</v>
      </c>
      <c r="F48" s="28">
        <f>-F33/F34</f>
        <v>0.17943614271709096</v>
      </c>
      <c r="G48" s="28">
        <f>-G33/G34</f>
        <v>0.19344600891665195</v>
      </c>
      <c r="H48" s="28">
        <f>-H33/H34</f>
        <v>0.19786373047242614</v>
      </c>
      <c r="I48" s="28">
        <f>H48+((0.25-$H$48)/10)</f>
        <v>0.20307735742518351</v>
      </c>
      <c r="J48" s="28">
        <f t="shared" ref="J48:R48" si="23">I48+((0.25-$H$48)/10)</f>
        <v>0.20829098437794091</v>
      </c>
      <c r="K48" s="28">
        <f t="shared" si="23"/>
        <v>0.21350461133069831</v>
      </c>
      <c r="L48" s="28">
        <f t="shared" si="23"/>
        <v>0.21871823828345571</v>
      </c>
      <c r="M48" s="28">
        <f t="shared" si="23"/>
        <v>0.22393186523621311</v>
      </c>
      <c r="N48" s="28">
        <f t="shared" si="23"/>
        <v>0.22914549218897051</v>
      </c>
      <c r="O48" s="28">
        <f t="shared" si="23"/>
        <v>0.23435911914172791</v>
      </c>
      <c r="P48" s="28">
        <f t="shared" si="23"/>
        <v>0.23957274609448531</v>
      </c>
      <c r="Q48" s="28">
        <f t="shared" si="23"/>
        <v>0.24478637304724271</v>
      </c>
      <c r="R48" s="28">
        <f t="shared" si="23"/>
        <v>0.25000000000000011</v>
      </c>
    </row>
    <row r="49" spans="2:18" x14ac:dyDescent="0.2">
      <c r="I49" s="28"/>
      <c r="J49" s="28"/>
      <c r="K49" s="28"/>
      <c r="L49" s="28"/>
      <c r="M49" s="28"/>
      <c r="N49" s="28"/>
      <c r="O49" s="28"/>
      <c r="P49" s="28"/>
      <c r="Q49" s="28"/>
      <c r="R49" s="28"/>
    </row>
    <row r="50" spans="2:18" x14ac:dyDescent="0.2">
      <c r="B50" s="18" t="s">
        <v>108</v>
      </c>
      <c r="C50" s="18"/>
      <c r="D50" s="50">
        <f>-D12/D6</f>
        <v>3.1383737517831668E-2</v>
      </c>
      <c r="E50" s="50">
        <f>-E12/E6</f>
        <v>3.2045104086353124E-2</v>
      </c>
      <c r="F50" s="50">
        <f>-F12/F6</f>
        <v>3.2505604414554232E-2</v>
      </c>
      <c r="G50" s="50">
        <f>-G12/G6</f>
        <v>3.1915748854409516E-2</v>
      </c>
      <c r="H50" s="50">
        <f>-H12/H6</f>
        <v>2.9036723987175751E-2</v>
      </c>
      <c r="I50" s="50">
        <f t="shared" ref="I50:R50" si="24">AVERAGE(D50:H50)</f>
        <v>3.1377383772064858E-2</v>
      </c>
      <c r="J50" s="50">
        <f t="shared" si="24"/>
        <v>3.1376113022911496E-2</v>
      </c>
      <c r="K50" s="50">
        <f t="shared" si="24"/>
        <v>3.124231481022317E-2</v>
      </c>
      <c r="L50" s="50">
        <f t="shared" si="24"/>
        <v>3.0989656889356954E-2</v>
      </c>
      <c r="M50" s="50">
        <f t="shared" si="24"/>
        <v>3.0804438496346443E-2</v>
      </c>
      <c r="N50" s="50">
        <f t="shared" si="24"/>
        <v>3.1157981398180584E-2</v>
      </c>
      <c r="O50" s="50">
        <f t="shared" si="24"/>
        <v>3.1114100923403727E-2</v>
      </c>
      <c r="P50" s="50">
        <f t="shared" si="24"/>
        <v>3.1061698503502176E-2</v>
      </c>
      <c r="Q50" s="50">
        <f t="shared" si="24"/>
        <v>3.1025575242157977E-2</v>
      </c>
      <c r="R50" s="50">
        <f t="shared" si="24"/>
        <v>3.1032758912718183E-2</v>
      </c>
    </row>
    <row r="51" spans="2:18" x14ac:dyDescent="0.2">
      <c r="B51" s="18" t="s">
        <v>369</v>
      </c>
      <c r="C51" s="18"/>
      <c r="D51" s="50">
        <f>-D30/D6</f>
        <v>7.3364581210515591E-3</v>
      </c>
      <c r="E51" s="50">
        <f>-E30/E6</f>
        <v>6.9390902081727058E-3</v>
      </c>
      <c r="F51" s="50">
        <f>-F30/F6</f>
        <v>6.5097430591481292E-3</v>
      </c>
      <c r="G51" s="50">
        <f>-G30/G6</f>
        <v>5.2255004421577298E-3</v>
      </c>
      <c r="H51" s="50">
        <f>-H30/H6</f>
        <v>8.7802389973768574E-3</v>
      </c>
      <c r="I51" s="50">
        <f>AVERAGE($D$51:$H$51)</f>
        <v>6.9582061655813956E-3</v>
      </c>
      <c r="J51" s="50">
        <f t="shared" ref="J51:R51" si="25">AVERAGE($D$51:$H$51)</f>
        <v>6.9582061655813956E-3</v>
      </c>
      <c r="K51" s="50">
        <f t="shared" si="25"/>
        <v>6.9582061655813956E-3</v>
      </c>
      <c r="L51" s="50">
        <f t="shared" si="25"/>
        <v>6.9582061655813956E-3</v>
      </c>
      <c r="M51" s="50">
        <f t="shared" si="25"/>
        <v>6.9582061655813956E-3</v>
      </c>
      <c r="N51" s="50">
        <f t="shared" si="25"/>
        <v>6.9582061655813956E-3</v>
      </c>
      <c r="O51" s="50">
        <f t="shared" si="25"/>
        <v>6.9582061655813956E-3</v>
      </c>
      <c r="P51" s="50">
        <f t="shared" si="25"/>
        <v>6.9582061655813956E-3</v>
      </c>
      <c r="Q51" s="50">
        <f t="shared" si="25"/>
        <v>6.9582061655813956E-3</v>
      </c>
      <c r="R51" s="50">
        <f t="shared" si="25"/>
        <v>6.9582061655813956E-3</v>
      </c>
    </row>
    <row r="52" spans="2:18" x14ac:dyDescent="0.2">
      <c r="B52" s="18" t="s">
        <v>109</v>
      </c>
      <c r="C52" s="18"/>
      <c r="D52" s="120"/>
      <c r="E52" s="120">
        <f>E6/D6-1</f>
        <v>5.7265131444874662E-2</v>
      </c>
      <c r="F52" s="120">
        <f>F6/E6-1</f>
        <v>0.11777178103315333</v>
      </c>
      <c r="G52" s="120">
        <f>G6/F6-1</f>
        <v>7.2512502155544167E-2</v>
      </c>
      <c r="H52" s="120">
        <f>H6/G6-1</f>
        <v>0.10330412412573353</v>
      </c>
      <c r="I52" s="120">
        <f>AVERAGE(E52:H52)</f>
        <v>8.7713384689826424E-2</v>
      </c>
      <c r="J52" s="120">
        <f t="shared" ref="J52:R52" si="26">AVERAGE(F52:I52)</f>
        <v>9.5325448001064364E-2</v>
      </c>
      <c r="K52" s="120">
        <f t="shared" si="26"/>
        <v>8.9713864743042118E-2</v>
      </c>
      <c r="L52" s="120">
        <f t="shared" si="26"/>
        <v>9.4014205389916602E-2</v>
      </c>
      <c r="M52" s="120">
        <f t="shared" si="26"/>
        <v>9.1691725705962374E-2</v>
      </c>
      <c r="N52" s="120">
        <f t="shared" si="26"/>
        <v>9.2686310959996354E-2</v>
      </c>
      <c r="O52" s="120">
        <f t="shared" si="26"/>
        <v>9.2026526699729355E-2</v>
      </c>
      <c r="P52" s="120">
        <f t="shared" si="26"/>
        <v>9.2604692188901161E-2</v>
      </c>
      <c r="Q52" s="120">
        <f t="shared" si="26"/>
        <v>9.2252313888647311E-2</v>
      </c>
      <c r="R52" s="120">
        <f t="shared" si="26"/>
        <v>9.2392460934318549E-2</v>
      </c>
    </row>
    <row r="53" spans="2:18" x14ac:dyDescent="0.2">
      <c r="B53" s="18" t="s">
        <v>119</v>
      </c>
      <c r="C53" s="18"/>
      <c r="D53" s="120">
        <v>0.56899999999999995</v>
      </c>
      <c r="E53" s="120">
        <v>0.52800000000000002</v>
      </c>
      <c r="F53" s="120">
        <v>0.42899999999999999</v>
      </c>
      <c r="G53" s="120">
        <v>0.39500000000000002</v>
      </c>
      <c r="H53" s="120">
        <v>0.39800000000000002</v>
      </c>
      <c r="I53" s="120">
        <v>0.4</v>
      </c>
      <c r="J53" s="120">
        <v>0.4</v>
      </c>
      <c r="K53" s="120">
        <v>0.4</v>
      </c>
      <c r="L53" s="120">
        <v>0.4</v>
      </c>
      <c r="M53" s="120">
        <v>0.4</v>
      </c>
      <c r="N53" s="120">
        <v>0.4</v>
      </c>
      <c r="O53" s="120">
        <v>0.4</v>
      </c>
      <c r="P53" s="120">
        <v>0.4</v>
      </c>
      <c r="Q53" s="120">
        <v>0.4</v>
      </c>
      <c r="R53" s="120">
        <v>0.4</v>
      </c>
    </row>
    <row r="54" spans="2:18" x14ac:dyDescent="0.2">
      <c r="B54" s="18" t="s">
        <v>120</v>
      </c>
      <c r="C54" s="18"/>
      <c r="D54" s="120">
        <v>0.13700000000000001</v>
      </c>
      <c r="E54" s="120">
        <v>0.14699999999999999</v>
      </c>
      <c r="F54" s="120">
        <v>0.17799999999999999</v>
      </c>
      <c r="G54" s="120">
        <v>0.20200000000000001</v>
      </c>
      <c r="H54" s="120">
        <v>0.215</v>
      </c>
      <c r="I54" s="120">
        <v>0.2</v>
      </c>
      <c r="J54" s="120">
        <v>0.2</v>
      </c>
      <c r="K54" s="120">
        <v>0.2</v>
      </c>
      <c r="L54" s="120">
        <v>0.2</v>
      </c>
      <c r="M54" s="120">
        <v>0.2</v>
      </c>
      <c r="N54" s="120">
        <v>0.2</v>
      </c>
      <c r="O54" s="120">
        <v>0.2</v>
      </c>
      <c r="P54" s="120">
        <v>0.2</v>
      </c>
      <c r="Q54" s="120">
        <v>0.2</v>
      </c>
      <c r="R54" s="120">
        <v>0.2</v>
      </c>
    </row>
    <row r="55" spans="2:18" x14ac:dyDescent="0.2">
      <c r="B55" s="18" t="s">
        <v>121</v>
      </c>
      <c r="C55" s="18"/>
      <c r="D55" s="120"/>
      <c r="E55" s="120">
        <f t="shared" ref="E55:K55" si="27">E54*(1-E53)</f>
        <v>6.9383999999999987E-2</v>
      </c>
      <c r="F55" s="120">
        <f t="shared" si="27"/>
        <v>0.10163799999999999</v>
      </c>
      <c r="G55" s="120">
        <f t="shared" si="27"/>
        <v>0.12221</v>
      </c>
      <c r="H55" s="120">
        <f t="shared" si="27"/>
        <v>0.12942999999999999</v>
      </c>
      <c r="I55" s="120">
        <f t="shared" si="27"/>
        <v>0.12</v>
      </c>
      <c r="J55" s="120">
        <f t="shared" si="27"/>
        <v>0.12</v>
      </c>
      <c r="K55" s="120">
        <f t="shared" si="27"/>
        <v>0.12</v>
      </c>
      <c r="L55" s="120">
        <f t="shared" ref="L55:R55" si="28">L54*(1-L53)</f>
        <v>0.12</v>
      </c>
      <c r="M55" s="120">
        <f t="shared" si="28"/>
        <v>0.12</v>
      </c>
      <c r="N55" s="120">
        <f t="shared" si="28"/>
        <v>0.12</v>
      </c>
      <c r="O55" s="120">
        <f t="shared" si="28"/>
        <v>0.12</v>
      </c>
      <c r="P55" s="120">
        <f t="shared" si="28"/>
        <v>0.12</v>
      </c>
      <c r="Q55" s="120">
        <f t="shared" si="28"/>
        <v>0.12</v>
      </c>
      <c r="R55" s="120">
        <f t="shared" si="28"/>
        <v>0.12</v>
      </c>
    </row>
    <row r="56" spans="2:18" x14ac:dyDescent="0.2">
      <c r="B56" s="18" t="s">
        <v>122</v>
      </c>
      <c r="C56" s="18"/>
      <c r="D56" s="120"/>
      <c r="E56" s="120">
        <f>E52-E55</f>
        <v>-1.2118868555125326E-2</v>
      </c>
      <c r="F56" s="120">
        <f>F52-F55</f>
        <v>1.6133781033153341E-2</v>
      </c>
      <c r="G56" s="120">
        <f>G52-G55</f>
        <v>-4.9697497844455832E-2</v>
      </c>
      <c r="H56" s="120">
        <f>H52-H55</f>
        <v>-2.6125875874266458E-2</v>
      </c>
      <c r="I56" s="120">
        <f>AVERAGE(E56:H56)</f>
        <v>-1.7952115310173569E-2</v>
      </c>
      <c r="J56" s="120">
        <v>-1.7952115310173569E-2</v>
      </c>
      <c r="K56" s="120">
        <v>-1.7952115310173569E-2</v>
      </c>
      <c r="L56" s="120">
        <v>-1.7952115310173569E-2</v>
      </c>
      <c r="M56" s="120">
        <v>-1.7952115310173569E-2</v>
      </c>
      <c r="N56" s="120">
        <v>-1.7952115310173569E-2</v>
      </c>
      <c r="O56" s="120">
        <v>-1.7952115310173569E-2</v>
      </c>
      <c r="P56" s="120">
        <v>-1.7952115310173569E-2</v>
      </c>
      <c r="Q56" s="120">
        <v>-1.7952115310173569E-2</v>
      </c>
      <c r="R56" s="120">
        <v>-1.7952115310173569E-2</v>
      </c>
    </row>
    <row r="57" spans="2:18" x14ac:dyDescent="0.2">
      <c r="B57" s="18" t="s">
        <v>123</v>
      </c>
      <c r="C57" s="18"/>
      <c r="D57" s="120"/>
      <c r="E57" s="120"/>
      <c r="F57" s="120"/>
      <c r="G57" s="120"/>
      <c r="H57" s="120">
        <f t="shared" ref="H57:M57" si="29">H55+H56</f>
        <v>0.10330412412573353</v>
      </c>
      <c r="I57" s="120">
        <f t="shared" si="29"/>
        <v>0.10204788468982642</v>
      </c>
      <c r="J57" s="120">
        <f t="shared" si="29"/>
        <v>0.10204788468982642</v>
      </c>
      <c r="K57" s="120">
        <f t="shared" si="29"/>
        <v>0.10204788468982642</v>
      </c>
      <c r="L57" s="120">
        <f t="shared" si="29"/>
        <v>0.10204788468982642</v>
      </c>
      <c r="M57" s="120">
        <f t="shared" si="29"/>
        <v>0.10204788468982642</v>
      </c>
      <c r="N57" s="120">
        <f>M57-(($M$57-$R$57)/10)</f>
        <v>9.5993096220843788E-2</v>
      </c>
      <c r="O57" s="120">
        <f>N57-(($M$57-$R$57)/10)</f>
        <v>8.9938307751861152E-2</v>
      </c>
      <c r="P57" s="120">
        <f>O57-(($M$57-$R$57)/10)</f>
        <v>8.3883519282878516E-2</v>
      </c>
      <c r="Q57" s="120">
        <f>P57-(($M$57-$R$57)/10)</f>
        <v>7.782873081389588E-2</v>
      </c>
      <c r="R57" s="120">
        <v>4.1500000000000002E-2</v>
      </c>
    </row>
    <row r="58" spans="2:18" x14ac:dyDescent="0.2">
      <c r="B58" s="18" t="s">
        <v>233</v>
      </c>
      <c r="C58" s="18"/>
      <c r="D58" s="120">
        <f>D40/D6</f>
        <v>0.12873826253657192</v>
      </c>
      <c r="E58" s="120">
        <f>E40/E6</f>
        <v>0.14866631310387432</v>
      </c>
      <c r="F58" s="120">
        <f>F40/F6</f>
        <v>0.174761912054786</v>
      </c>
      <c r="G58" s="120">
        <f>G40/G6</f>
        <v>0.19444457183594166</v>
      </c>
      <c r="H58" s="120">
        <f>H40/H6</f>
        <v>0.1967770818408546</v>
      </c>
      <c r="I58" s="120">
        <f>MIN(25%,H58*(1+I59))</f>
        <v>0.20071262347767169</v>
      </c>
      <c r="J58" s="120">
        <f t="shared" ref="J58:R58" si="30">MIN(25%,I58*(1+J59))</f>
        <v>0.20472687594722513</v>
      </c>
      <c r="K58" s="120">
        <f t="shared" si="30"/>
        <v>0.20882141346616964</v>
      </c>
      <c r="L58" s="120">
        <f t="shared" si="30"/>
        <v>0.21299784173549305</v>
      </c>
      <c r="M58" s="120">
        <f t="shared" si="30"/>
        <v>0.21725779857020291</v>
      </c>
      <c r="N58" s="120">
        <f t="shared" si="30"/>
        <v>0.22160295454160697</v>
      </c>
      <c r="O58" s="120">
        <f t="shared" si="30"/>
        <v>0.22603501363243911</v>
      </c>
      <c r="P58" s="120">
        <f t="shared" si="30"/>
        <v>0.23055571390508789</v>
      </c>
      <c r="Q58" s="120">
        <f t="shared" si="30"/>
        <v>0.23516682818318965</v>
      </c>
      <c r="R58" s="120">
        <f t="shared" si="30"/>
        <v>0.23987016474685344</v>
      </c>
    </row>
    <row r="59" spans="2:18" x14ac:dyDescent="0.2">
      <c r="B59" s="18" t="s">
        <v>234</v>
      </c>
      <c r="C59" s="18"/>
      <c r="D59" s="120"/>
      <c r="E59" s="120">
        <f>E58/D58-1</f>
        <v>0.15479508713768175</v>
      </c>
      <c r="F59" s="120">
        <f>F58/E58-1</f>
        <v>0.17553135210044846</v>
      </c>
      <c r="G59" s="120">
        <f>G58/F58-1</f>
        <v>0.11262556897972908</v>
      </c>
      <c r="H59" s="120">
        <f>H58/G58-1</f>
        <v>1.199575788045637E-2</v>
      </c>
      <c r="I59" s="120">
        <v>0.02</v>
      </c>
      <c r="J59" s="120">
        <v>0.02</v>
      </c>
      <c r="K59" s="120">
        <v>0.02</v>
      </c>
      <c r="L59" s="120">
        <v>0.02</v>
      </c>
      <c r="M59" s="120">
        <v>0.02</v>
      </c>
      <c r="N59" s="120">
        <v>0.02</v>
      </c>
      <c r="O59" s="120">
        <v>0.02</v>
      </c>
      <c r="P59" s="120">
        <v>0.02</v>
      </c>
      <c r="Q59" s="120">
        <v>0.02</v>
      </c>
      <c r="R59" s="120">
        <v>0.02</v>
      </c>
    </row>
    <row r="60" spans="2:18" x14ac:dyDescent="0.2">
      <c r="B60" s="18" t="s">
        <v>237</v>
      </c>
      <c r="C60" s="18"/>
      <c r="D60" s="120">
        <f t="shared" ref="D60:H61" si="31">-D21/D$6</f>
        <v>2.1703688608110863E-2</v>
      </c>
      <c r="E60" s="120">
        <f t="shared" si="31"/>
        <v>1.9660755589822668E-2</v>
      </c>
      <c r="F60" s="120">
        <f t="shared" si="31"/>
        <v>1.8494568028970513E-2</v>
      </c>
      <c r="G60" s="120">
        <f t="shared" si="31"/>
        <v>1.792748613232575E-2</v>
      </c>
      <c r="H60" s="120">
        <f t="shared" si="31"/>
        <v>1.7378315359953368E-2</v>
      </c>
      <c r="I60" s="120">
        <f>AVERAGE(D60:H60)</f>
        <v>1.9032962743836632E-2</v>
      </c>
      <c r="J60" s="120">
        <f t="shared" ref="J60:R60" si="32">AVERAGE(E60:I60)</f>
        <v>1.8498817570981783E-2</v>
      </c>
      <c r="K60" s="120">
        <f t="shared" si="32"/>
        <v>1.8266429967213609E-2</v>
      </c>
      <c r="L60" s="120">
        <f t="shared" si="32"/>
        <v>1.8220802354862231E-2</v>
      </c>
      <c r="M60" s="120">
        <f t="shared" si="32"/>
        <v>1.8279465599369524E-2</v>
      </c>
      <c r="N60" s="120">
        <f t="shared" si="32"/>
        <v>1.8459695647252757E-2</v>
      </c>
      <c r="O60" s="120">
        <f t="shared" si="32"/>
        <v>1.8345042227935981E-2</v>
      </c>
      <c r="P60" s="120">
        <f t="shared" si="32"/>
        <v>1.8314287159326821E-2</v>
      </c>
      <c r="Q60" s="120">
        <f t="shared" si="32"/>
        <v>1.8323858597749459E-2</v>
      </c>
      <c r="R60" s="120">
        <f t="shared" si="32"/>
        <v>1.834446984632691E-2</v>
      </c>
    </row>
    <row r="61" spans="2:18" x14ac:dyDescent="0.2">
      <c r="B61" s="18" t="s">
        <v>238</v>
      </c>
      <c r="C61" s="18"/>
      <c r="D61" s="120">
        <f t="shared" si="31"/>
        <v>2.5270022416955369E-2</v>
      </c>
      <c r="E61" s="120">
        <f t="shared" si="31"/>
        <v>2.6310717039321512E-2</v>
      </c>
      <c r="F61" s="120">
        <f t="shared" si="31"/>
        <v>2.142610794964649E-2</v>
      </c>
      <c r="G61" s="120">
        <f t="shared" si="31"/>
        <v>1.9093174692499396E-2</v>
      </c>
      <c r="H61" s="120">
        <f t="shared" si="31"/>
        <v>1.9272806761877002E-2</v>
      </c>
      <c r="I61" s="120">
        <f>AVERAGE(D61:H61)</f>
        <v>2.227456577205995E-2</v>
      </c>
      <c r="J61" s="120">
        <f t="shared" ref="J61:R61" si="33">AVERAGE(E61:I61)</f>
        <v>2.1675474443080871E-2</v>
      </c>
      <c r="K61" s="120">
        <f t="shared" si="33"/>
        <v>2.074842592383274E-2</v>
      </c>
      <c r="L61" s="120">
        <f t="shared" si="33"/>
        <v>2.0612889518669991E-2</v>
      </c>
      <c r="M61" s="120">
        <f t="shared" si="33"/>
        <v>2.0916832483904114E-2</v>
      </c>
      <c r="N61" s="120">
        <f t="shared" si="33"/>
        <v>2.1245637628309534E-2</v>
      </c>
      <c r="O61" s="120">
        <f t="shared" si="33"/>
        <v>2.1039851999559451E-2</v>
      </c>
      <c r="P61" s="120">
        <f t="shared" si="33"/>
        <v>2.0912727510855163E-2</v>
      </c>
      <c r="Q61" s="120">
        <f t="shared" si="33"/>
        <v>2.094558782825965E-2</v>
      </c>
      <c r="R61" s="120">
        <f t="shared" si="33"/>
        <v>2.1012127490177578E-2</v>
      </c>
    </row>
    <row r="62" spans="2:18" x14ac:dyDescent="0.2">
      <c r="B62" s="18" t="s">
        <v>259</v>
      </c>
      <c r="C62" s="18"/>
      <c r="D62" s="120">
        <f>-D7/D6</f>
        <v>0.63027307927450582</v>
      </c>
      <c r="E62" s="120">
        <f>-E7/E6</f>
        <v>0.62215690053970707</v>
      </c>
      <c r="F62" s="120">
        <f>-F7/F6</f>
        <v>0.59648215209518884</v>
      </c>
      <c r="G62" s="120">
        <f>-G7/G6</f>
        <v>0.58099525685344477</v>
      </c>
      <c r="H62" s="120">
        <f>-H7/H6</f>
        <v>0.58747449723112799</v>
      </c>
      <c r="I62" s="120">
        <f>H62-(($H$62-0.55)/10)</f>
        <v>0.58372704750801518</v>
      </c>
      <c r="J62" s="120">
        <f t="shared" ref="J62:R62" si="34">I62-(($H$62-0.55)/10)</f>
        <v>0.57997959778490238</v>
      </c>
      <c r="K62" s="120">
        <f t="shared" si="34"/>
        <v>0.57623214806178957</v>
      </c>
      <c r="L62" s="120">
        <f t="shared" si="34"/>
        <v>0.57248469833867677</v>
      </c>
      <c r="M62" s="120">
        <f t="shared" si="34"/>
        <v>0.56873724861556396</v>
      </c>
      <c r="N62" s="120">
        <f t="shared" si="34"/>
        <v>0.56498979889245116</v>
      </c>
      <c r="O62" s="120">
        <f t="shared" si="34"/>
        <v>0.56124234916933835</v>
      </c>
      <c r="P62" s="120">
        <f t="shared" si="34"/>
        <v>0.55749489944622554</v>
      </c>
      <c r="Q62" s="120">
        <f t="shared" si="34"/>
        <v>0.55374744972311274</v>
      </c>
      <c r="R62" s="120">
        <f t="shared" si="34"/>
        <v>0.54999999999999993</v>
      </c>
    </row>
    <row r="63" spans="2:18" x14ac:dyDescent="0.2">
      <c r="B63" s="18" t="s">
        <v>276</v>
      </c>
      <c r="C63" s="18"/>
      <c r="D63" s="120">
        <f>-D11/D6</f>
        <v>0.14413083350315875</v>
      </c>
      <c r="E63" s="120">
        <f>-E11/E6</f>
        <v>0.14456437933693139</v>
      </c>
      <c r="F63" s="120">
        <f>-F11/F6</f>
        <v>0.15882048629073978</v>
      </c>
      <c r="G63" s="120">
        <f>-G11/G6</f>
        <v>0.15431304767264251</v>
      </c>
      <c r="H63" s="120">
        <f>-H11/H6</f>
        <v>0.14554794520547945</v>
      </c>
      <c r="I63" s="120">
        <f>AVERAGE($D$63:$H$63)</f>
        <v>0.14947533840179036</v>
      </c>
      <c r="J63" s="120">
        <f t="shared" ref="J63:R63" si="35">AVERAGE($D$63:$H$63)</f>
        <v>0.14947533840179036</v>
      </c>
      <c r="K63" s="120">
        <f t="shared" si="35"/>
        <v>0.14947533840179036</v>
      </c>
      <c r="L63" s="120">
        <f t="shared" si="35"/>
        <v>0.14947533840179036</v>
      </c>
      <c r="M63" s="120">
        <f t="shared" si="35"/>
        <v>0.14947533840179036</v>
      </c>
      <c r="N63" s="120">
        <f t="shared" si="35"/>
        <v>0.14947533840179036</v>
      </c>
      <c r="O63" s="120">
        <f t="shared" si="35"/>
        <v>0.14947533840179036</v>
      </c>
      <c r="P63" s="120">
        <f t="shared" si="35"/>
        <v>0.14947533840179036</v>
      </c>
      <c r="Q63" s="120">
        <f t="shared" si="35"/>
        <v>0.14947533840179036</v>
      </c>
      <c r="R63" s="120">
        <f t="shared" si="35"/>
        <v>0.14947533840179036</v>
      </c>
    </row>
    <row r="64" spans="2:18" x14ac:dyDescent="0.2">
      <c r="B64" s="18" t="s">
        <v>346</v>
      </c>
      <c r="C64" s="18"/>
      <c r="D64" s="120">
        <f>D34/D6</f>
        <v>0.11175871204401874</v>
      </c>
      <c r="E64" s="120">
        <f>E34/E6</f>
        <v>0.12252794911333846</v>
      </c>
      <c r="F64" s="120">
        <f>F34/F6</f>
        <v>0.1451155371615796</v>
      </c>
      <c r="G64" s="120">
        <f>G34/G6</f>
        <v>0.15958276388777234</v>
      </c>
      <c r="H64" s="120">
        <f>H34/H6</f>
        <v>0.1548528125910813</v>
      </c>
      <c r="I64" s="120">
        <v>0.15</v>
      </c>
      <c r="J64" s="120">
        <v>0.15</v>
      </c>
      <c r="K64" s="120">
        <v>0.15</v>
      </c>
      <c r="L64" s="120">
        <v>0.15</v>
      </c>
      <c r="M64" s="120">
        <v>0.15</v>
      </c>
      <c r="N64" s="120">
        <v>0.15</v>
      </c>
      <c r="O64" s="120">
        <v>0.15</v>
      </c>
      <c r="P64" s="120">
        <v>0.15</v>
      </c>
      <c r="Q64" s="120">
        <v>0.15</v>
      </c>
      <c r="R64" s="120">
        <v>0.15</v>
      </c>
    </row>
    <row r="65" spans="2:21" x14ac:dyDescent="0.2">
      <c r="B65" s="18" t="s">
        <v>368</v>
      </c>
      <c r="C65" s="18"/>
      <c r="D65" s="120">
        <f>D8/D6</f>
        <v>0.36972692072549418</v>
      </c>
      <c r="E65" s="120">
        <f t="shared" ref="E65:R65" si="36">E8/E6</f>
        <v>0.37784309946029299</v>
      </c>
      <c r="F65" s="120">
        <f t="shared" si="36"/>
        <v>0.40351784790481116</v>
      </c>
      <c r="G65" s="120">
        <f t="shared" si="36"/>
        <v>0.41900474314655517</v>
      </c>
      <c r="H65" s="120">
        <f t="shared" si="36"/>
        <v>0.41252550276887207</v>
      </c>
      <c r="I65" s="120">
        <f t="shared" si="36"/>
        <v>0.41627295249198487</v>
      </c>
      <c r="J65" s="120">
        <f t="shared" si="36"/>
        <v>0.42002040221509757</v>
      </c>
      <c r="K65" s="120">
        <f t="shared" si="36"/>
        <v>0.42376785193821043</v>
      </c>
      <c r="L65" s="120">
        <f t="shared" si="36"/>
        <v>0.42751530166132323</v>
      </c>
      <c r="M65" s="120">
        <f t="shared" si="36"/>
        <v>0.43126275138443604</v>
      </c>
      <c r="N65" s="120">
        <f t="shared" si="36"/>
        <v>0.43501020110754884</v>
      </c>
      <c r="O65" s="120">
        <f t="shared" si="36"/>
        <v>0.43875765083066165</v>
      </c>
      <c r="P65" s="120">
        <f t="shared" si="36"/>
        <v>0.44250510055377446</v>
      </c>
      <c r="Q65" s="120">
        <f t="shared" si="36"/>
        <v>0.44625255027688726</v>
      </c>
      <c r="R65" s="120">
        <f t="shared" si="36"/>
        <v>0.45000000000000012</v>
      </c>
      <c r="U65" s="240"/>
    </row>
    <row r="67" spans="2:21" ht="15" x14ac:dyDescent="0.25">
      <c r="B67" s="24" t="s">
        <v>14</v>
      </c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2:21" ht="3.95" customHeight="1" x14ac:dyDescent="0.2"/>
    <row r="69" spans="2:21" ht="15" x14ac:dyDescent="0.25">
      <c r="B69" s="9" t="s">
        <v>12</v>
      </c>
    </row>
    <row r="70" spans="2:21" ht="15" x14ac:dyDescent="0.25">
      <c r="B70" s="10" t="s">
        <v>15</v>
      </c>
    </row>
    <row r="71" spans="2:21" x14ac:dyDescent="0.2">
      <c r="B71" s="25" t="s">
        <v>16</v>
      </c>
      <c r="D71" s="21">
        <v>2227</v>
      </c>
      <c r="E71" s="21">
        <v>2129</v>
      </c>
      <c r="F71" s="21">
        <v>2241</v>
      </c>
      <c r="G71" s="21">
        <v>2239</v>
      </c>
      <c r="H71" s="21">
        <v>2361</v>
      </c>
    </row>
    <row r="72" spans="2:21" x14ac:dyDescent="0.2">
      <c r="B72" s="25" t="s">
        <v>17</v>
      </c>
      <c r="D72" s="21">
        <v>5591</v>
      </c>
      <c r="E72" s="21">
        <v>5885</v>
      </c>
      <c r="F72" s="21">
        <v>6497</v>
      </c>
      <c r="G72" s="21">
        <v>6823</v>
      </c>
      <c r="H72" s="21">
        <v>7667</v>
      </c>
    </row>
    <row r="73" spans="2:21" x14ac:dyDescent="0.2">
      <c r="B73" s="11" t="s">
        <v>18</v>
      </c>
      <c r="D73" s="12">
        <f>SUM(D71:D72)</f>
        <v>7818</v>
      </c>
      <c r="E73" s="12">
        <f>SUM(E71:E72)</f>
        <v>8014</v>
      </c>
      <c r="F73" s="12">
        <f>SUM(F71:F72)</f>
        <v>8738</v>
      </c>
      <c r="G73" s="12">
        <f>SUM(G71:G72)</f>
        <v>9062</v>
      </c>
      <c r="H73" s="12">
        <f>SUM(H71:H72)</f>
        <v>10028</v>
      </c>
    </row>
    <row r="74" spans="2:21" x14ac:dyDescent="0.2">
      <c r="B74" s="11" t="s">
        <v>19</v>
      </c>
      <c r="D74" s="21">
        <v>-4754</v>
      </c>
      <c r="E74" s="21">
        <v>-4867</v>
      </c>
      <c r="F74" s="21">
        <v>-5208</v>
      </c>
      <c r="G74" s="21">
        <v>-5333</v>
      </c>
      <c r="H74" s="21">
        <v>-5712</v>
      </c>
    </row>
    <row r="75" spans="2:21" x14ac:dyDescent="0.2">
      <c r="B75" s="13" t="s">
        <v>20</v>
      </c>
      <c r="D75" s="12">
        <f>SUM(D73:D74)</f>
        <v>3064</v>
      </c>
      <c r="E75" s="12">
        <f>SUM(E73:E74)</f>
        <v>3147</v>
      </c>
      <c r="F75" s="12">
        <f>SUM(F73:F74)</f>
        <v>3530</v>
      </c>
      <c r="G75" s="12">
        <f>SUM(G73:G74)</f>
        <v>3729</v>
      </c>
      <c r="H75" s="12">
        <f>SUM(H73:H74)</f>
        <v>4316</v>
      </c>
    </row>
    <row r="76" spans="2:21" x14ac:dyDescent="0.2">
      <c r="B76" s="14" t="s">
        <v>21</v>
      </c>
      <c r="D76" s="21">
        <v>14751</v>
      </c>
      <c r="E76" s="21">
        <v>14796</v>
      </c>
      <c r="F76" s="21">
        <v>14977</v>
      </c>
      <c r="G76" s="21">
        <v>14713</v>
      </c>
      <c r="H76" s="21">
        <v>15769</v>
      </c>
    </row>
    <row r="77" spans="2:21" x14ac:dyDescent="0.2">
      <c r="B77" s="14" t="s">
        <v>22</v>
      </c>
      <c r="D77" s="21">
        <v>5855</v>
      </c>
      <c r="E77" s="21">
        <v>5486</v>
      </c>
      <c r="F77" s="21">
        <v>5091</v>
      </c>
      <c r="G77" s="21">
        <v>4657</v>
      </c>
      <c r="H77" s="21">
        <v>5054</v>
      </c>
    </row>
    <row r="78" spans="2:21" ht="15" x14ac:dyDescent="0.25">
      <c r="B78" s="13" t="s">
        <v>23</v>
      </c>
      <c r="C78" s="5"/>
      <c r="D78" s="21">
        <v>442</v>
      </c>
      <c r="E78" s="21">
        <v>570</v>
      </c>
      <c r="F78" s="21">
        <v>648</v>
      </c>
      <c r="G78" s="21">
        <v>806</v>
      </c>
      <c r="H78" s="21">
        <v>768</v>
      </c>
    </row>
    <row r="79" spans="2:21" x14ac:dyDescent="0.2">
      <c r="B79" s="13" t="s">
        <v>24</v>
      </c>
      <c r="D79" s="21">
        <v>392</v>
      </c>
      <c r="E79" s="21">
        <v>330</v>
      </c>
      <c r="F79" s="21">
        <v>458</v>
      </c>
      <c r="G79" s="21">
        <v>609</v>
      </c>
      <c r="H79" s="21">
        <v>707</v>
      </c>
    </row>
    <row r="80" spans="2:21" x14ac:dyDescent="0.2">
      <c r="B80" s="13" t="s">
        <v>25</v>
      </c>
      <c r="D80" s="21">
        <v>2012</v>
      </c>
      <c r="E80" s="21">
        <v>1940</v>
      </c>
      <c r="F80" s="21">
        <v>2053</v>
      </c>
      <c r="G80" s="21">
        <v>2066</v>
      </c>
      <c r="H80" s="21">
        <v>2282</v>
      </c>
    </row>
    <row r="81" spans="2:8" ht="15" x14ac:dyDescent="0.25">
      <c r="B81" s="10" t="s">
        <v>27</v>
      </c>
      <c r="D81" s="15">
        <f>SUM(D75:D80)</f>
        <v>26516</v>
      </c>
      <c r="E81" s="15">
        <f>SUM(E75:E80)</f>
        <v>26269</v>
      </c>
      <c r="F81" s="15">
        <f>SUM(F75:F80)</f>
        <v>26757</v>
      </c>
      <c r="G81" s="15">
        <f>SUM(G75:G80)</f>
        <v>26580</v>
      </c>
      <c r="H81" s="15">
        <f>SUM(H75:H80)</f>
        <v>28896</v>
      </c>
    </row>
    <row r="82" spans="2:8" x14ac:dyDescent="0.2">
      <c r="B82" s="13"/>
      <c r="D82" s="21"/>
      <c r="E82" s="21"/>
      <c r="F82" s="21"/>
      <c r="G82" s="21"/>
      <c r="H82" s="21"/>
    </row>
    <row r="83" spans="2:8" ht="15" x14ac:dyDescent="0.25">
      <c r="B83" s="10" t="s">
        <v>26</v>
      </c>
      <c r="D83" s="21"/>
      <c r="E83" s="21"/>
      <c r="F83" s="21"/>
      <c r="G83" s="21"/>
      <c r="H83" s="21"/>
    </row>
    <row r="84" spans="2:8" x14ac:dyDescent="0.2">
      <c r="B84" s="13" t="s">
        <v>28</v>
      </c>
      <c r="D84" s="21">
        <v>568</v>
      </c>
      <c r="E84" s="21">
        <v>555</v>
      </c>
      <c r="F84" s="21">
        <v>2609</v>
      </c>
      <c r="G84" s="21">
        <v>2080</v>
      </c>
      <c r="H84" s="21">
        <v>803</v>
      </c>
    </row>
    <row r="85" spans="2:8" ht="15" x14ac:dyDescent="0.25">
      <c r="B85" s="13" t="s">
        <v>29</v>
      </c>
      <c r="C85" s="5"/>
      <c r="D85" s="21">
        <v>3297</v>
      </c>
      <c r="E85" s="21">
        <v>4076</v>
      </c>
      <c r="F85" s="21">
        <v>4475</v>
      </c>
      <c r="G85" s="21">
        <v>4619</v>
      </c>
      <c r="H85" s="21">
        <v>5387</v>
      </c>
    </row>
    <row r="86" spans="2:8" ht="15" x14ac:dyDescent="0.25">
      <c r="B86" s="13" t="s">
        <v>30</v>
      </c>
      <c r="C86" s="5"/>
      <c r="D86" s="21">
        <v>2969</v>
      </c>
      <c r="E86" s="21">
        <v>3431</v>
      </c>
      <c r="F86" s="21">
        <v>3739</v>
      </c>
      <c r="G86" s="21">
        <v>4228</v>
      </c>
      <c r="H86" s="21">
        <v>4721</v>
      </c>
    </row>
    <row r="87" spans="2:8" x14ac:dyDescent="0.2">
      <c r="B87" s="13" t="s">
        <v>31</v>
      </c>
      <c r="D87" s="21">
        <v>677</v>
      </c>
      <c r="E87" s="21">
        <v>684</v>
      </c>
      <c r="F87" s="21">
        <v>852</v>
      </c>
      <c r="G87" s="21">
        <v>874</v>
      </c>
      <c r="H87" s="21">
        <v>1444</v>
      </c>
    </row>
    <row r="88" spans="2:8" ht="15" x14ac:dyDescent="0.25">
      <c r="B88" s="10" t="s">
        <v>32</v>
      </c>
      <c r="D88" s="15">
        <f>SUM(D84:D87)</f>
        <v>7511</v>
      </c>
      <c r="E88" s="15">
        <f>SUM(E84:E87)</f>
        <v>8746</v>
      </c>
      <c r="F88" s="15">
        <f>SUM(F84:F87)</f>
        <v>11675</v>
      </c>
      <c r="G88" s="15">
        <f>SUM(G84:G87)</f>
        <v>11801</v>
      </c>
      <c r="H88" s="15">
        <f>SUM(H84:H87)</f>
        <v>12355</v>
      </c>
    </row>
    <row r="89" spans="2:8" ht="15" x14ac:dyDescent="0.25">
      <c r="B89" s="16" t="s">
        <v>33</v>
      </c>
      <c r="D89" s="15">
        <f>D81+D88</f>
        <v>34027</v>
      </c>
      <c r="E89" s="15">
        <f>E81+E88</f>
        <v>35015</v>
      </c>
      <c r="F89" s="15">
        <f>F81+F88</f>
        <v>38432</v>
      </c>
      <c r="G89" s="15">
        <f>G81+G88</f>
        <v>38381</v>
      </c>
      <c r="H89" s="15">
        <f>H81+H88</f>
        <v>41251</v>
      </c>
    </row>
    <row r="90" spans="2:8" x14ac:dyDescent="0.2">
      <c r="B90" s="13"/>
      <c r="D90" s="21"/>
      <c r="E90" s="21"/>
      <c r="F90" s="21"/>
      <c r="G90" s="21"/>
      <c r="H90" s="21"/>
    </row>
    <row r="91" spans="2:8" ht="15" x14ac:dyDescent="0.25">
      <c r="B91" s="9" t="s">
        <v>34</v>
      </c>
      <c r="D91" s="21"/>
      <c r="E91" s="21"/>
      <c r="F91" s="21"/>
      <c r="G91" s="21"/>
      <c r="H91" s="21"/>
    </row>
    <row r="92" spans="2:8" ht="15" x14ac:dyDescent="0.25">
      <c r="B92" s="10" t="s">
        <v>35</v>
      </c>
      <c r="D92" s="21"/>
      <c r="E92" s="21"/>
      <c r="F92" s="21"/>
      <c r="G92" s="21"/>
      <c r="H92" s="21"/>
    </row>
    <row r="93" spans="2:8" x14ac:dyDescent="0.2">
      <c r="B93" s="13" t="s">
        <v>36</v>
      </c>
      <c r="D93" s="21">
        <v>4</v>
      </c>
      <c r="E93" s="21">
        <v>4</v>
      </c>
      <c r="F93" s="21">
        <v>4</v>
      </c>
      <c r="G93" s="21">
        <v>4</v>
      </c>
      <c r="H93" s="21">
        <v>4</v>
      </c>
    </row>
    <row r="94" spans="2:8" x14ac:dyDescent="0.2">
      <c r="B94" s="13" t="s">
        <v>37</v>
      </c>
      <c r="D94" s="21">
        <v>12449</v>
      </c>
      <c r="E94" s="21">
        <v>12512</v>
      </c>
      <c r="F94" s="21">
        <v>12634</v>
      </c>
      <c r="G94" s="21">
        <v>12731</v>
      </c>
      <c r="H94" s="21">
        <v>12837</v>
      </c>
    </row>
    <row r="95" spans="2:8" x14ac:dyDescent="0.2">
      <c r="B95" s="13" t="s">
        <v>38</v>
      </c>
      <c r="D95" s="21">
        <v>7594</v>
      </c>
      <c r="E95" s="21">
        <v>8468</v>
      </c>
      <c r="F95" s="21">
        <v>10305</v>
      </c>
      <c r="G95" s="21">
        <v>10096</v>
      </c>
      <c r="H95" s="21">
        <v>10702</v>
      </c>
    </row>
    <row r="96" spans="2:8" ht="15" x14ac:dyDescent="0.25">
      <c r="B96" s="13" t="s">
        <v>39</v>
      </c>
      <c r="C96" s="5"/>
      <c r="D96" s="21">
        <v>-3633</v>
      </c>
      <c r="E96" s="21">
        <v>-3946</v>
      </c>
      <c r="F96" s="21">
        <v>-3906</v>
      </c>
      <c r="G96" s="21">
        <v>-4342</v>
      </c>
      <c r="H96" s="21">
        <v>-4118</v>
      </c>
    </row>
    <row r="97" spans="2:8" x14ac:dyDescent="0.2">
      <c r="B97" s="13" t="s">
        <v>40</v>
      </c>
      <c r="D97" s="21">
        <v>-1</v>
      </c>
      <c r="E97" s="21">
        <v>-1</v>
      </c>
      <c r="F97" s="21">
        <v>-1</v>
      </c>
      <c r="G97" s="21">
        <v>-1</v>
      </c>
      <c r="H97" s="21">
        <v>0</v>
      </c>
    </row>
    <row r="98" spans="2:8" x14ac:dyDescent="0.2">
      <c r="B98" s="13" t="s">
        <v>41</v>
      </c>
      <c r="D98" s="21">
        <v>38</v>
      </c>
      <c r="E98" s="21">
        <v>38</v>
      </c>
      <c r="F98" s="21">
        <v>33</v>
      </c>
      <c r="G98" s="21">
        <v>43</v>
      </c>
      <c r="H98" s="21">
        <v>44</v>
      </c>
    </row>
    <row r="99" spans="2:8" ht="15" x14ac:dyDescent="0.25">
      <c r="B99" s="10" t="s">
        <v>42</v>
      </c>
      <c r="D99" s="15">
        <f>SUM(D93:D98)</f>
        <v>16451</v>
      </c>
      <c r="E99" s="15">
        <f>SUM(E93:E98)</f>
        <v>17075</v>
      </c>
      <c r="F99" s="15">
        <f>SUM(F93:F98)</f>
        <v>19069</v>
      </c>
      <c r="G99" s="15">
        <f>SUM(G93:G98)</f>
        <v>18531</v>
      </c>
      <c r="H99" s="15">
        <f>SUM(H93:H98)</f>
        <v>19469</v>
      </c>
    </row>
    <row r="100" spans="2:8" x14ac:dyDescent="0.2">
      <c r="B100" s="13"/>
      <c r="D100" s="21"/>
      <c r="E100" s="21"/>
      <c r="F100" s="21"/>
      <c r="G100" s="21"/>
      <c r="H100" s="21"/>
    </row>
    <row r="101" spans="2:8" ht="15" x14ac:dyDescent="0.25">
      <c r="B101" s="10" t="s">
        <v>43</v>
      </c>
      <c r="D101" s="21"/>
      <c r="E101" s="21"/>
      <c r="F101" s="21"/>
      <c r="G101" s="21"/>
      <c r="H101" s="21"/>
    </row>
    <row r="102" spans="2:8" x14ac:dyDescent="0.2">
      <c r="B102" s="13" t="s">
        <v>44</v>
      </c>
      <c r="D102" s="21">
        <v>6831</v>
      </c>
      <c r="E102" s="21">
        <v>8321</v>
      </c>
      <c r="F102" s="21">
        <v>8244</v>
      </c>
      <c r="G102" s="21">
        <v>8478</v>
      </c>
      <c r="H102" s="21">
        <v>8758</v>
      </c>
    </row>
    <row r="103" spans="2:8" x14ac:dyDescent="0.2">
      <c r="B103" s="14" t="s">
        <v>45</v>
      </c>
      <c r="D103" s="21">
        <v>872</v>
      </c>
      <c r="E103" s="21">
        <v>649</v>
      </c>
      <c r="F103" s="21">
        <v>768</v>
      </c>
      <c r="G103" s="21">
        <v>741</v>
      </c>
      <c r="H103" s="21">
        <v>702</v>
      </c>
    </row>
    <row r="104" spans="2:8" x14ac:dyDescent="0.2">
      <c r="B104" s="14" t="s">
        <v>46</v>
      </c>
      <c r="D104" s="21">
        <v>263</v>
      </c>
      <c r="E104" s="21">
        <v>177</v>
      </c>
      <c r="F104" s="21">
        <v>180</v>
      </c>
      <c r="G104" s="21">
        <v>164</v>
      </c>
      <c r="H104" s="21">
        <v>161</v>
      </c>
    </row>
    <row r="105" spans="2:8" ht="15" x14ac:dyDescent="0.25">
      <c r="B105" s="13" t="s">
        <v>49</v>
      </c>
      <c r="C105" s="5"/>
      <c r="D105" s="21">
        <v>337</v>
      </c>
      <c r="E105" s="21">
        <v>459</v>
      </c>
      <c r="F105" s="21">
        <v>533</v>
      </c>
      <c r="G105" s="21">
        <v>669</v>
      </c>
      <c r="H105" s="21">
        <v>637</v>
      </c>
    </row>
    <row r="106" spans="2:8" x14ac:dyDescent="0.2">
      <c r="B106" s="13" t="s">
        <v>47</v>
      </c>
      <c r="D106" s="21">
        <v>559</v>
      </c>
      <c r="E106" s="21">
        <v>530</v>
      </c>
      <c r="F106" s="21">
        <v>402</v>
      </c>
      <c r="G106" s="21">
        <v>275</v>
      </c>
      <c r="H106" s="21">
        <v>265</v>
      </c>
    </row>
    <row r="107" spans="2:8" x14ac:dyDescent="0.2">
      <c r="B107" s="13" t="s">
        <v>48</v>
      </c>
      <c r="D107" s="21">
        <v>1502</v>
      </c>
      <c r="E107" s="21">
        <v>1444</v>
      </c>
      <c r="F107" s="21">
        <v>1489</v>
      </c>
      <c r="G107" s="21">
        <v>1667</v>
      </c>
      <c r="H107" s="21">
        <v>1889</v>
      </c>
    </row>
    <row r="108" spans="2:8" ht="15" x14ac:dyDescent="0.25">
      <c r="B108" s="10" t="s">
        <v>50</v>
      </c>
      <c r="D108" s="15">
        <f>SUM(D102:D107)</f>
        <v>10364</v>
      </c>
      <c r="E108" s="15">
        <f>SUM(E102:E107)</f>
        <v>11580</v>
      </c>
      <c r="F108" s="15">
        <f>SUM(F102:F107)</f>
        <v>11616</v>
      </c>
      <c r="G108" s="15">
        <f>SUM(G102:G107)</f>
        <v>11994</v>
      </c>
      <c r="H108" s="15">
        <f>SUM(H102:H107)</f>
        <v>12412</v>
      </c>
    </row>
    <row r="109" spans="2:8" x14ac:dyDescent="0.2">
      <c r="B109" s="13"/>
      <c r="D109" s="21"/>
      <c r="E109" s="21"/>
      <c r="F109" s="21"/>
      <c r="G109" s="21"/>
      <c r="H109" s="21"/>
    </row>
    <row r="110" spans="2:8" ht="15" x14ac:dyDescent="0.25">
      <c r="B110" s="10" t="s">
        <v>51</v>
      </c>
      <c r="D110" s="21"/>
      <c r="E110" s="21"/>
      <c r="F110" s="21"/>
      <c r="G110" s="21"/>
      <c r="H110" s="21"/>
    </row>
    <row r="111" spans="2:8" x14ac:dyDescent="0.2">
      <c r="B111" s="13" t="s">
        <v>52</v>
      </c>
      <c r="D111" s="21">
        <v>13</v>
      </c>
      <c r="E111" s="21">
        <v>324</v>
      </c>
      <c r="F111" s="21">
        <v>8</v>
      </c>
      <c r="G111" s="21">
        <v>0</v>
      </c>
      <c r="H111" s="21">
        <v>1</v>
      </c>
    </row>
    <row r="112" spans="2:8" x14ac:dyDescent="0.2">
      <c r="B112" s="13" t="s">
        <v>53</v>
      </c>
      <c r="D112" s="21">
        <v>2797</v>
      </c>
      <c r="E112" s="21">
        <v>3072</v>
      </c>
      <c r="F112" s="21">
        <v>3365</v>
      </c>
      <c r="G112" s="21">
        <v>3678</v>
      </c>
      <c r="H112" s="21">
        <v>4168</v>
      </c>
    </row>
    <row r="113" spans="1:18" x14ac:dyDescent="0.2">
      <c r="B113" s="1" t="s">
        <v>54</v>
      </c>
      <c r="D113" s="20">
        <v>501</v>
      </c>
      <c r="E113" s="20">
        <v>467</v>
      </c>
      <c r="F113" s="20">
        <v>676</v>
      </c>
      <c r="G113" s="20">
        <v>670</v>
      </c>
      <c r="H113" s="20">
        <v>644</v>
      </c>
    </row>
    <row r="114" spans="1:18" s="17" customFormat="1" ht="15" x14ac:dyDescent="0.25">
      <c r="A114" s="5"/>
      <c r="B114" s="1" t="s">
        <v>55</v>
      </c>
      <c r="C114" s="5"/>
      <c r="D114" s="20">
        <v>1735</v>
      </c>
      <c r="E114" s="20">
        <v>10</v>
      </c>
      <c r="F114" s="20">
        <v>1017</v>
      </c>
      <c r="G114" s="20">
        <v>674</v>
      </c>
      <c r="H114" s="20">
        <v>1136</v>
      </c>
    </row>
    <row r="115" spans="1:18" s="17" customFormat="1" ht="15" x14ac:dyDescent="0.25">
      <c r="A115" s="5"/>
      <c r="B115" s="1" t="s">
        <v>56</v>
      </c>
      <c r="C115" s="5"/>
      <c r="D115" s="20">
        <v>2166</v>
      </c>
      <c r="E115" s="20">
        <v>2487</v>
      </c>
      <c r="F115" s="20">
        <v>2681</v>
      </c>
      <c r="G115" s="20">
        <v>2834</v>
      </c>
      <c r="H115" s="20">
        <v>3421</v>
      </c>
    </row>
    <row r="116" spans="1:18" ht="15" x14ac:dyDescent="0.25">
      <c r="B116" s="10" t="s">
        <v>57</v>
      </c>
      <c r="D116" s="8">
        <f>SUM(D111:D115)</f>
        <v>7212</v>
      </c>
      <c r="E116" s="8">
        <f>SUM(E111:E115)</f>
        <v>6360</v>
      </c>
      <c r="F116" s="8">
        <f>SUM(F111:F115)</f>
        <v>7747</v>
      </c>
      <c r="G116" s="8">
        <f>SUM(G111:G115)</f>
        <v>7856</v>
      </c>
      <c r="H116" s="8">
        <f>SUM(H111:H115)</f>
        <v>9370</v>
      </c>
    </row>
    <row r="117" spans="1:18" ht="15" x14ac:dyDescent="0.25">
      <c r="B117" s="5" t="s">
        <v>58</v>
      </c>
      <c r="D117" s="8">
        <f>D108+D116</f>
        <v>17576</v>
      </c>
      <c r="E117" s="8">
        <f>E108+E116</f>
        <v>17940</v>
      </c>
      <c r="F117" s="8">
        <f>F108+F116</f>
        <v>19363</v>
      </c>
      <c r="G117" s="8">
        <f>G108+G116</f>
        <v>19850</v>
      </c>
      <c r="H117" s="8">
        <f>H108+H116</f>
        <v>21782</v>
      </c>
    </row>
    <row r="118" spans="1:18" ht="15" x14ac:dyDescent="0.25">
      <c r="B118" s="5" t="s">
        <v>59</v>
      </c>
      <c r="D118" s="8">
        <f>D117+D99</f>
        <v>34027</v>
      </c>
      <c r="E118" s="8">
        <f>E117+E99</f>
        <v>35015</v>
      </c>
      <c r="F118" s="8">
        <f>F117+F99</f>
        <v>38432</v>
      </c>
      <c r="G118" s="8">
        <f>G117+G99</f>
        <v>38381</v>
      </c>
      <c r="H118" s="8">
        <f>H117+H99</f>
        <v>41251</v>
      </c>
    </row>
    <row r="119" spans="1:18" x14ac:dyDescent="0.2">
      <c r="D119" s="20"/>
      <c r="E119" s="20"/>
      <c r="F119" s="20"/>
      <c r="G119" s="20"/>
      <c r="H119" s="20"/>
    </row>
    <row r="120" spans="1:18" x14ac:dyDescent="0.2">
      <c r="B120" s="18" t="s">
        <v>60</v>
      </c>
      <c r="D120" s="6">
        <f>D118-D89</f>
        <v>0</v>
      </c>
      <c r="E120" s="6">
        <f>E118-E89</f>
        <v>0</v>
      </c>
      <c r="F120" s="6">
        <f>F118-F89</f>
        <v>0</v>
      </c>
      <c r="G120" s="6">
        <f>G118-G89</f>
        <v>0</v>
      </c>
      <c r="H120" s="6">
        <f>H118-H89</f>
        <v>0</v>
      </c>
    </row>
    <row r="122" spans="1:18" ht="15" x14ac:dyDescent="0.25">
      <c r="B122" s="24" t="s">
        <v>61</v>
      </c>
      <c r="C122" s="22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 ht="3.95" customHeight="1" x14ac:dyDescent="0.2"/>
    <row r="124" spans="1:18" x14ac:dyDescent="0.2">
      <c r="B124" s="1" t="s">
        <v>62</v>
      </c>
      <c r="D124" s="21">
        <f>D34</f>
        <v>2193.6</v>
      </c>
      <c r="E124" s="21">
        <f>E34</f>
        <v>2542.6999999999998</v>
      </c>
      <c r="F124" s="21">
        <f>F34</f>
        <v>3366.1000000000004</v>
      </c>
      <c r="G124" s="21">
        <f>G34</f>
        <v>3970.1000000000004</v>
      </c>
      <c r="H124" s="21">
        <f>H34</f>
        <v>4250.3999999999996</v>
      </c>
    </row>
    <row r="125" spans="1:18" x14ac:dyDescent="0.2">
      <c r="B125" s="1" t="s">
        <v>70</v>
      </c>
      <c r="D125" s="21">
        <f>-D23</f>
        <v>922</v>
      </c>
      <c r="E125" s="21">
        <f>-E23</f>
        <v>954</v>
      </c>
      <c r="F125" s="21">
        <f>-F23</f>
        <v>926</v>
      </c>
      <c r="G125" s="21">
        <f>-G23</f>
        <v>921</v>
      </c>
      <c r="H125" s="21">
        <f>-H23</f>
        <v>1006</v>
      </c>
    </row>
    <row r="126" spans="1:18" x14ac:dyDescent="0.2">
      <c r="B126" s="26" t="s">
        <v>71</v>
      </c>
      <c r="C126" s="26"/>
      <c r="D126" s="21">
        <v>-111</v>
      </c>
      <c r="E126" s="21">
        <v>-128</v>
      </c>
      <c r="F126" s="21">
        <v>-182</v>
      </c>
      <c r="G126" s="21">
        <v>-154</v>
      </c>
      <c r="H126" s="21">
        <v>45</v>
      </c>
    </row>
    <row r="127" spans="1:18" x14ac:dyDescent="0.2">
      <c r="B127" s="26" t="s">
        <v>72</v>
      </c>
      <c r="C127" s="26"/>
      <c r="D127" s="21"/>
      <c r="E127" s="21"/>
      <c r="F127" s="21"/>
      <c r="G127" s="21"/>
      <c r="H127" s="21"/>
    </row>
    <row r="128" spans="1:18" x14ac:dyDescent="0.2">
      <c r="B128" s="26" t="s">
        <v>73</v>
      </c>
      <c r="C128" s="26"/>
      <c r="D128" s="21">
        <v>-271</v>
      </c>
      <c r="E128" s="21">
        <v>-743</v>
      </c>
      <c r="F128" s="21">
        <v>-341</v>
      </c>
      <c r="G128" s="21">
        <v>-215</v>
      </c>
      <c r="H128" s="21">
        <v>-777</v>
      </c>
    </row>
    <row r="129" spans="2:8" x14ac:dyDescent="0.2">
      <c r="B129" s="26" t="s">
        <v>74</v>
      </c>
      <c r="C129" s="26"/>
      <c r="D129" s="21">
        <v>-629</v>
      </c>
      <c r="E129" s="21">
        <v>-490</v>
      </c>
      <c r="F129" s="21">
        <v>-282</v>
      </c>
      <c r="G129" s="21">
        <v>-566</v>
      </c>
      <c r="H129" s="21">
        <v>-256</v>
      </c>
    </row>
    <row r="130" spans="2:8" x14ac:dyDescent="0.2">
      <c r="B130" s="26" t="s">
        <v>75</v>
      </c>
      <c r="C130" s="26"/>
      <c r="D130" s="21">
        <v>832</v>
      </c>
      <c r="E130" s="21">
        <v>334</v>
      </c>
      <c r="F130" s="21">
        <v>256</v>
      </c>
      <c r="G130" s="21">
        <v>399</v>
      </c>
      <c r="H130" s="21">
        <v>332</v>
      </c>
    </row>
    <row r="131" spans="2:8" x14ac:dyDescent="0.2">
      <c r="B131" s="26" t="s">
        <v>76</v>
      </c>
      <c r="C131" s="26"/>
      <c r="D131" s="21">
        <v>-317</v>
      </c>
      <c r="E131" s="21">
        <v>170</v>
      </c>
      <c r="F131" s="21">
        <v>61</v>
      </c>
      <c r="G131" s="21">
        <v>142</v>
      </c>
      <c r="H131" s="21">
        <v>-116</v>
      </c>
    </row>
    <row r="132" spans="2:8" x14ac:dyDescent="0.2">
      <c r="B132" s="26" t="s">
        <v>77</v>
      </c>
      <c r="C132" s="26"/>
      <c r="D132" s="21">
        <v>22</v>
      </c>
      <c r="E132" s="21">
        <v>40</v>
      </c>
      <c r="F132" s="21">
        <v>-76</v>
      </c>
      <c r="G132" s="21">
        <v>85</v>
      </c>
      <c r="H132" s="21">
        <v>146</v>
      </c>
    </row>
    <row r="133" spans="2:8" x14ac:dyDescent="0.2">
      <c r="B133" s="26" t="s">
        <v>78</v>
      </c>
      <c r="C133" s="26"/>
      <c r="D133" s="21">
        <v>-116</v>
      </c>
      <c r="E133" s="21">
        <v>-179</v>
      </c>
      <c r="F133" s="21">
        <v>-112</v>
      </c>
      <c r="G133" s="21">
        <v>-79</v>
      </c>
      <c r="H133" s="21">
        <v>-198</v>
      </c>
    </row>
    <row r="134" spans="2:8" x14ac:dyDescent="0.2">
      <c r="B134" s="26" t="s">
        <v>79</v>
      </c>
      <c r="C134" s="26"/>
      <c r="D134" s="21">
        <v>2163</v>
      </c>
      <c r="E134" s="21">
        <v>2533</v>
      </c>
      <c r="F134" s="21">
        <v>3624</v>
      </c>
      <c r="G134" s="21">
        <v>4327</v>
      </c>
      <c r="H134" s="21">
        <v>4472</v>
      </c>
    </row>
    <row r="135" spans="2:8" x14ac:dyDescent="0.2">
      <c r="B135" s="26" t="s">
        <v>80</v>
      </c>
      <c r="C135" s="26"/>
      <c r="D135" s="21"/>
      <c r="E135" s="21"/>
      <c r="F135" s="21"/>
      <c r="G135" s="21"/>
      <c r="H135" s="21"/>
    </row>
    <row r="136" spans="2:8" x14ac:dyDescent="0.2">
      <c r="B136" s="26" t="s">
        <v>81</v>
      </c>
      <c r="C136" s="26"/>
      <c r="D136" s="21"/>
      <c r="E136" s="21"/>
      <c r="F136" s="21"/>
      <c r="G136" s="21"/>
      <c r="H136" s="21"/>
    </row>
    <row r="137" spans="2:8" x14ac:dyDescent="0.2">
      <c r="B137" s="26" t="s">
        <v>82</v>
      </c>
      <c r="C137" s="26"/>
      <c r="D137" s="21">
        <v>-4500</v>
      </c>
      <c r="E137" s="21">
        <v>-610</v>
      </c>
      <c r="F137" s="21">
        <v>0</v>
      </c>
      <c r="G137" s="21">
        <v>-50</v>
      </c>
      <c r="H137" s="21">
        <v>-1490</v>
      </c>
    </row>
    <row r="138" spans="2:8" x14ac:dyDescent="0.2">
      <c r="B138" s="26" t="s">
        <v>83</v>
      </c>
      <c r="C138" s="26"/>
      <c r="D138" s="21">
        <v>-575</v>
      </c>
      <c r="E138" s="21">
        <v>-598</v>
      </c>
      <c r="F138" s="21">
        <v>-757</v>
      </c>
      <c r="G138" s="21">
        <v>-808</v>
      </c>
      <c r="H138" s="21">
        <v>-919</v>
      </c>
    </row>
    <row r="139" spans="2:8" x14ac:dyDescent="0.2">
      <c r="B139" s="26" t="s">
        <v>84</v>
      </c>
      <c r="C139" s="26"/>
      <c r="D139" s="21">
        <v>3129</v>
      </c>
      <c r="E139" s="21">
        <v>31</v>
      </c>
      <c r="F139" s="21">
        <v>-2</v>
      </c>
      <c r="G139" s="21">
        <v>0</v>
      </c>
      <c r="H139" s="21">
        <v>0</v>
      </c>
    </row>
    <row r="140" spans="2:8" x14ac:dyDescent="0.2">
      <c r="B140" s="26" t="s">
        <v>85</v>
      </c>
      <c r="C140" s="26"/>
      <c r="D140" s="21">
        <v>379</v>
      </c>
      <c r="E140" s="21">
        <v>-19</v>
      </c>
      <c r="F140" s="21">
        <v>-1861</v>
      </c>
      <c r="G140" s="21">
        <v>575</v>
      </c>
      <c r="H140" s="21">
        <v>1339</v>
      </c>
    </row>
    <row r="141" spans="2:8" x14ac:dyDescent="0.2">
      <c r="B141" s="26" t="s">
        <v>86</v>
      </c>
      <c r="C141" s="26"/>
      <c r="D141" s="21">
        <v>-73</v>
      </c>
      <c r="E141" s="21">
        <v>38</v>
      </c>
      <c r="F141" s="21">
        <v>113</v>
      </c>
      <c r="G141" s="21">
        <v>-3</v>
      </c>
      <c r="H141" s="21">
        <v>-95</v>
      </c>
    </row>
    <row r="142" spans="2:8" x14ac:dyDescent="0.2">
      <c r="B142" s="26" t="s">
        <v>87</v>
      </c>
      <c r="C142" s="26"/>
      <c r="D142" s="21">
        <v>-1764</v>
      </c>
      <c r="E142" s="21">
        <v>-1200</v>
      </c>
      <c r="F142" s="21">
        <v>-2575</v>
      </c>
      <c r="G142" s="21">
        <v>-271</v>
      </c>
      <c r="H142" s="21">
        <v>-1101</v>
      </c>
    </row>
    <row r="143" spans="2:8" x14ac:dyDescent="0.2">
      <c r="B143" s="26" t="s">
        <v>80</v>
      </c>
      <c r="C143" s="26"/>
      <c r="D143" s="21"/>
      <c r="E143" s="21"/>
      <c r="F143" s="21"/>
      <c r="G143" s="21"/>
      <c r="H143" s="21"/>
    </row>
    <row r="144" spans="2:8" x14ac:dyDescent="0.2">
      <c r="B144" s="26" t="s">
        <v>88</v>
      </c>
      <c r="C144" s="26"/>
      <c r="D144" s="21"/>
      <c r="E144" s="21"/>
      <c r="F144" s="21"/>
      <c r="G144" s="21"/>
      <c r="H144" s="21"/>
    </row>
    <row r="145" spans="2:18" x14ac:dyDescent="0.2">
      <c r="B145" s="26" t="s">
        <v>89</v>
      </c>
      <c r="C145" s="26"/>
      <c r="D145" s="21">
        <v>-1219</v>
      </c>
      <c r="E145" s="21">
        <v>-1299</v>
      </c>
      <c r="F145" s="21">
        <v>-1379</v>
      </c>
      <c r="G145" s="21">
        <v>-1500</v>
      </c>
      <c r="H145" s="21">
        <v>-1626</v>
      </c>
    </row>
    <row r="146" spans="2:18" x14ac:dyDescent="0.2">
      <c r="B146" s="26" t="s">
        <v>90</v>
      </c>
      <c r="C146" s="26"/>
      <c r="D146" s="21">
        <v>805</v>
      </c>
      <c r="E146" s="21">
        <v>300</v>
      </c>
      <c r="F146" s="21">
        <v>488</v>
      </c>
      <c r="G146" s="21">
        <v>61</v>
      </c>
      <c r="H146" s="21">
        <v>342</v>
      </c>
    </row>
    <row r="147" spans="2:18" x14ac:dyDescent="0.2">
      <c r="B147" s="26" t="s">
        <v>91</v>
      </c>
      <c r="C147" s="26"/>
      <c r="D147" s="21">
        <v>1798</v>
      </c>
      <c r="E147" s="21">
        <v>1995</v>
      </c>
      <c r="F147" s="21">
        <v>818</v>
      </c>
      <c r="G147" s="21">
        <v>1084</v>
      </c>
      <c r="H147" s="21">
        <v>1058</v>
      </c>
    </row>
    <row r="148" spans="2:18" x14ac:dyDescent="0.2">
      <c r="B148" s="26" t="s">
        <v>92</v>
      </c>
      <c r="C148" s="26"/>
      <c r="D148" s="21">
        <v>-1013</v>
      </c>
      <c r="E148" s="21">
        <v>-2012</v>
      </c>
      <c r="F148" s="21">
        <v>-19</v>
      </c>
      <c r="G148" s="21">
        <v>-1015</v>
      </c>
      <c r="H148" s="21">
        <v>-717</v>
      </c>
    </row>
    <row r="149" spans="2:18" x14ac:dyDescent="0.2">
      <c r="B149" s="26" t="s">
        <v>93</v>
      </c>
      <c r="C149" s="26"/>
      <c r="D149" s="21">
        <v>-122</v>
      </c>
      <c r="E149" s="21">
        <v>-286</v>
      </c>
      <c r="F149" s="21">
        <v>0</v>
      </c>
      <c r="G149" s="21">
        <v>-2492</v>
      </c>
      <c r="H149" s="21">
        <v>-1862</v>
      </c>
    </row>
    <row r="150" spans="2:18" x14ac:dyDescent="0.2">
      <c r="B150" s="26" t="s">
        <v>94</v>
      </c>
      <c r="C150" s="26"/>
      <c r="D150" s="21">
        <v>63</v>
      </c>
      <c r="E150" s="21">
        <v>28</v>
      </c>
      <c r="F150" s="21">
        <v>78</v>
      </c>
      <c r="G150" s="21">
        <v>69</v>
      </c>
      <c r="H150" s="21">
        <v>39</v>
      </c>
    </row>
    <row r="151" spans="2:18" x14ac:dyDescent="0.2">
      <c r="B151" s="26" t="s">
        <v>95</v>
      </c>
      <c r="C151" s="26"/>
      <c r="D151" s="21">
        <v>-535</v>
      </c>
      <c r="E151" s="21">
        <v>-1340</v>
      </c>
      <c r="F151" s="21">
        <v>-871</v>
      </c>
      <c r="G151" s="21">
        <v>-3936</v>
      </c>
      <c r="H151" s="21">
        <v>-3173</v>
      </c>
    </row>
    <row r="154" spans="2:18" ht="15" x14ac:dyDescent="0.25">
      <c r="B154" s="24" t="s">
        <v>229</v>
      </c>
      <c r="C154" s="22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spans="2:18" ht="3.95" customHeight="1" x14ac:dyDescent="0.2"/>
    <row r="156" spans="2:18" x14ac:dyDescent="0.2">
      <c r="B156" s="1" t="s">
        <v>230</v>
      </c>
      <c r="D156" s="28">
        <f>-D145/D34</f>
        <v>0.55570751276440555</v>
      </c>
      <c r="E156" s="28">
        <f>-E145/E34</f>
        <v>0.51087426751091358</v>
      </c>
      <c r="F156" s="28">
        <f>-F145/F34</f>
        <v>0.40967291524315969</v>
      </c>
      <c r="G156" s="28">
        <f>-G145/G34</f>
        <v>0.37782423616533584</v>
      </c>
      <c r="H156" s="28">
        <f>-H145/H34</f>
        <v>0.38255223037831737</v>
      </c>
    </row>
    <row r="157" spans="2:18" x14ac:dyDescent="0.2">
      <c r="B157" s="1" t="s">
        <v>120</v>
      </c>
      <c r="D157" s="28">
        <f>D34/D99</f>
        <v>0.13334143821044314</v>
      </c>
      <c r="E157" s="28">
        <f>E34/E99</f>
        <v>0.14891361639824305</v>
      </c>
      <c r="F157" s="28">
        <f>F34/F99</f>
        <v>0.17652210393832923</v>
      </c>
      <c r="G157" s="28">
        <f>G34/G99</f>
        <v>0.21424100156494524</v>
      </c>
      <c r="H157" s="28">
        <f>H34/H99</f>
        <v>0.21831629770404232</v>
      </c>
    </row>
    <row r="158" spans="2:18" x14ac:dyDescent="0.2">
      <c r="B158" s="1" t="s">
        <v>121</v>
      </c>
      <c r="D158" s="28">
        <f>D157*(1-D156)</f>
        <v>5.9242599234089116E-2</v>
      </c>
      <c r="E158" s="28">
        <f>E157*(1-E156)</f>
        <v>7.2837481698389467E-2</v>
      </c>
      <c r="F158" s="28">
        <f>F157*(1-F156)</f>
        <v>0.10420577901305784</v>
      </c>
      <c r="G158" s="28">
        <f>G157*(1-G156)</f>
        <v>0.13329555879337326</v>
      </c>
      <c r="H158" s="28">
        <f>H157*(1-H156)</f>
        <v>0.13479891108942421</v>
      </c>
    </row>
    <row r="159" spans="2:18" x14ac:dyDescent="0.2">
      <c r="B159" s="1" t="s">
        <v>231</v>
      </c>
      <c r="D159" s="28">
        <f>D6/C6-1</f>
        <v>9.9115242468361453E-2</v>
      </c>
      <c r="E159" s="28">
        <f>E6/D6-1</f>
        <v>5.7265131444874662E-2</v>
      </c>
      <c r="F159" s="28">
        <f>F6/E6-1</f>
        <v>0.11777178103315333</v>
      </c>
      <c r="G159" s="28">
        <f>G6/F6-1</f>
        <v>7.2512502155544167E-2</v>
      </c>
      <c r="H159" s="28">
        <f>H6/G6-1</f>
        <v>0.10330412412573353</v>
      </c>
      <c r="I159" s="28">
        <f t="shared" ref="I159:R159" si="37">I6/H6-1</f>
        <v>0.10204788468982651</v>
      </c>
      <c r="J159" s="28">
        <f t="shared" si="37"/>
        <v>0.10204788468982651</v>
      </c>
      <c r="K159" s="28">
        <f t="shared" si="37"/>
        <v>0.10204788468982651</v>
      </c>
      <c r="L159" s="28">
        <f t="shared" si="37"/>
        <v>0.10204788468982651</v>
      </c>
      <c r="M159" s="28">
        <f t="shared" si="37"/>
        <v>0.10204788468982651</v>
      </c>
      <c r="N159" s="28">
        <f t="shared" si="37"/>
        <v>9.5993096220843732E-2</v>
      </c>
      <c r="O159" s="28">
        <f t="shared" si="37"/>
        <v>8.993830775186118E-2</v>
      </c>
      <c r="P159" s="28">
        <f t="shared" si="37"/>
        <v>8.3883519282878627E-2</v>
      </c>
      <c r="Q159" s="28">
        <f t="shared" si="37"/>
        <v>7.7828730813895852E-2</v>
      </c>
      <c r="R159" s="28">
        <f t="shared" si="37"/>
        <v>4.1500000000000092E-2</v>
      </c>
    </row>
    <row r="160" spans="2:18" x14ac:dyDescent="0.2">
      <c r="B160" s="1" t="s">
        <v>368</v>
      </c>
      <c r="D160" s="28">
        <f>D8/D6</f>
        <v>0.36972692072549418</v>
      </c>
      <c r="E160" s="28">
        <f t="shared" ref="E160:R160" si="38">E8/E6</f>
        <v>0.37784309946029299</v>
      </c>
      <c r="F160" s="28">
        <f t="shared" si="38"/>
        <v>0.40351784790481116</v>
      </c>
      <c r="G160" s="28">
        <f t="shared" si="38"/>
        <v>0.41900474314655517</v>
      </c>
      <c r="H160" s="28">
        <f t="shared" si="38"/>
        <v>0.41252550276887207</v>
      </c>
      <c r="I160" s="28">
        <f t="shared" si="38"/>
        <v>0.41627295249198487</v>
      </c>
      <c r="J160" s="28">
        <f t="shared" si="38"/>
        <v>0.42002040221509757</v>
      </c>
      <c r="K160" s="28">
        <f t="shared" si="38"/>
        <v>0.42376785193821043</v>
      </c>
      <c r="L160" s="28">
        <f t="shared" si="38"/>
        <v>0.42751530166132323</v>
      </c>
      <c r="M160" s="28">
        <f t="shared" si="38"/>
        <v>0.43126275138443604</v>
      </c>
      <c r="N160" s="28">
        <f t="shared" si="38"/>
        <v>0.43501020110754884</v>
      </c>
      <c r="O160" s="28">
        <f t="shared" si="38"/>
        <v>0.43875765083066165</v>
      </c>
      <c r="P160" s="28">
        <f t="shared" si="38"/>
        <v>0.44250510055377446</v>
      </c>
      <c r="Q160" s="28">
        <f t="shared" si="38"/>
        <v>0.44625255027688726</v>
      </c>
      <c r="R160" s="28">
        <f t="shared" si="38"/>
        <v>0.45000000000000012</v>
      </c>
    </row>
    <row r="161" spans="2:18" x14ac:dyDescent="0.2">
      <c r="D161" s="28"/>
      <c r="E161" s="28"/>
      <c r="F161" s="28"/>
      <c r="G161" s="28"/>
      <c r="H161" s="28"/>
    </row>
    <row r="162" spans="2:18" x14ac:dyDescent="0.2">
      <c r="E162" s="28"/>
      <c r="F162" s="28"/>
      <c r="G162" s="28"/>
      <c r="H162" s="28"/>
    </row>
    <row r="163" spans="2:18" x14ac:dyDescent="0.2">
      <c r="B163" s="1" t="s">
        <v>240</v>
      </c>
      <c r="C163" s="18"/>
      <c r="D163" s="28">
        <f>(-D137-D138)/D6</f>
        <v>0.25855920114122682</v>
      </c>
      <c r="E163" s="28">
        <f>(-E137-E138)/E6</f>
        <v>5.8211256746337703E-2</v>
      </c>
      <c r="F163" s="28">
        <f>(-F137-F138)/F6</f>
        <v>3.2634937058113468E-2</v>
      </c>
      <c r="G163" s="28">
        <f>(-G137-G138)/G6</f>
        <v>3.4488302918241016E-2</v>
      </c>
      <c r="H163" s="28">
        <f>(-H137-H138)/H6</f>
        <v>8.7765957446808512E-2</v>
      </c>
      <c r="I163" s="28">
        <f>AVERAGE($E$163:$H$163)</f>
        <v>5.3275113542375171E-2</v>
      </c>
      <c r="J163" s="28">
        <f t="shared" ref="J163:R163" si="39">AVERAGE($E$163:$H$163)</f>
        <v>5.3275113542375171E-2</v>
      </c>
      <c r="K163" s="28">
        <f t="shared" si="39"/>
        <v>5.3275113542375171E-2</v>
      </c>
      <c r="L163" s="28">
        <f t="shared" si="39"/>
        <v>5.3275113542375171E-2</v>
      </c>
      <c r="M163" s="28">
        <f t="shared" si="39"/>
        <v>5.3275113542375171E-2</v>
      </c>
      <c r="N163" s="28">
        <f t="shared" si="39"/>
        <v>5.3275113542375171E-2</v>
      </c>
      <c r="O163" s="28">
        <f t="shared" si="39"/>
        <v>5.3275113542375171E-2</v>
      </c>
      <c r="P163" s="28">
        <f t="shared" si="39"/>
        <v>5.3275113542375171E-2</v>
      </c>
      <c r="Q163" s="28">
        <f t="shared" si="39"/>
        <v>5.3275113542375171E-2</v>
      </c>
      <c r="R163" s="28">
        <f t="shared" si="39"/>
        <v>5.3275113542375171E-2</v>
      </c>
    </row>
    <row r="164" spans="2:18" x14ac:dyDescent="0.2">
      <c r="B164" s="1" t="s">
        <v>241</v>
      </c>
      <c r="D164" s="28"/>
      <c r="E164" s="28"/>
      <c r="F164" s="28"/>
      <c r="G164" s="28"/>
      <c r="H164" s="4">
        <f t="shared" ref="H164:R164" si="40">H163*H6</f>
        <v>2409</v>
      </c>
      <c r="I164" s="4">
        <f t="shared" si="40"/>
        <v>1611.519460352913</v>
      </c>
      <c r="J164" s="4">
        <f t="shared" si="40"/>
        <v>1775.9716124184185</v>
      </c>
      <c r="K164" s="4">
        <f t="shared" si="40"/>
        <v>1957.2057587348984</v>
      </c>
      <c r="L164" s="4">
        <f t="shared" si="40"/>
        <v>2156.9344663165416</v>
      </c>
      <c r="M164" s="4">
        <f t="shared" si="40"/>
        <v>2377.0450660187244</v>
      </c>
      <c r="N164" s="4">
        <f t="shared" si="40"/>
        <v>2605.2249817623419</v>
      </c>
      <c r="O164" s="4">
        <f t="shared" si="40"/>
        <v>2839.5345079349204</v>
      </c>
      <c r="P164" s="4">
        <f t="shared" si="40"/>
        <v>3077.7246555856782</v>
      </c>
      <c r="Q164" s="4">
        <f t="shared" si="40"/>
        <v>3317.2600593245465</v>
      </c>
      <c r="R164" s="4">
        <f t="shared" si="40"/>
        <v>3454.9263517865156</v>
      </c>
    </row>
    <row r="166" spans="2:18" ht="15" x14ac:dyDescent="0.25">
      <c r="B166" s="123" t="s">
        <v>253</v>
      </c>
    </row>
    <row r="167" spans="2:18" ht="15" x14ac:dyDescent="0.25">
      <c r="B167" s="5" t="s">
        <v>248</v>
      </c>
    </row>
    <row r="168" spans="2:18" x14ac:dyDescent="0.2">
      <c r="B168" s="118" t="s">
        <v>245</v>
      </c>
      <c r="D168" s="2">
        <f>D6/D85</f>
        <v>5.9532908704883223</v>
      </c>
      <c r="E168" s="2">
        <f>E6/E85</f>
        <v>5.0912659470068693</v>
      </c>
      <c r="F168" s="2">
        <f>F6/F85</f>
        <v>5.1834636871508382</v>
      </c>
      <c r="G168" s="2">
        <f>G6/G85</f>
        <v>5.3860142888071012</v>
      </c>
      <c r="H168" s="2">
        <f>H6/H85</f>
        <v>5.0952292556153704</v>
      </c>
      <c r="I168" s="2">
        <f>AVERAGE($D$168:$H$168)</f>
        <v>5.3418528098136999</v>
      </c>
      <c r="J168" s="2">
        <f t="shared" ref="J168:R168" si="41">AVERAGE($D$168:$H$168)</f>
        <v>5.3418528098136999</v>
      </c>
      <c r="K168" s="2">
        <f t="shared" si="41"/>
        <v>5.3418528098136999</v>
      </c>
      <c r="L168" s="2">
        <f t="shared" si="41"/>
        <v>5.3418528098136999</v>
      </c>
      <c r="M168" s="2">
        <f t="shared" si="41"/>
        <v>5.3418528098136999</v>
      </c>
      <c r="N168" s="2">
        <f t="shared" si="41"/>
        <v>5.3418528098136999</v>
      </c>
      <c r="O168" s="2">
        <f t="shared" si="41"/>
        <v>5.3418528098136999</v>
      </c>
      <c r="P168" s="2">
        <f t="shared" si="41"/>
        <v>5.3418528098136999</v>
      </c>
      <c r="Q168" s="2">
        <f t="shared" si="41"/>
        <v>5.3418528098136999</v>
      </c>
      <c r="R168" s="2">
        <f t="shared" si="41"/>
        <v>5.3418528098136999</v>
      </c>
    </row>
    <row r="169" spans="2:18" x14ac:dyDescent="0.2">
      <c r="B169" s="118" t="s">
        <v>247</v>
      </c>
      <c r="D169" s="2">
        <f>-D7/D86</f>
        <v>4.1667228022903338</v>
      </c>
      <c r="E169" s="2">
        <f>-E7/E86</f>
        <v>3.763042844651705</v>
      </c>
      <c r="F169" s="2">
        <f>-F7/F86</f>
        <v>3.7004546670232683</v>
      </c>
      <c r="G169" s="2">
        <f>-G7/G86</f>
        <v>3.4186376537369916</v>
      </c>
      <c r="H169" s="2">
        <f>-H7/H86</f>
        <v>3.4155899173903834</v>
      </c>
      <c r="I169" s="2">
        <f>AVERAGE($D$169:$H$169)</f>
        <v>3.6928895770185362</v>
      </c>
      <c r="J169" s="2">
        <f t="shared" ref="J169:R169" si="42">AVERAGE($D$169:$H$169)</f>
        <v>3.6928895770185362</v>
      </c>
      <c r="K169" s="2">
        <f t="shared" si="42"/>
        <v>3.6928895770185362</v>
      </c>
      <c r="L169" s="2">
        <f t="shared" si="42"/>
        <v>3.6928895770185362</v>
      </c>
      <c r="M169" s="2">
        <f t="shared" si="42"/>
        <v>3.6928895770185362</v>
      </c>
      <c r="N169" s="2">
        <f t="shared" si="42"/>
        <v>3.6928895770185362</v>
      </c>
      <c r="O169" s="2">
        <f t="shared" si="42"/>
        <v>3.6928895770185362</v>
      </c>
      <c r="P169" s="2">
        <f t="shared" si="42"/>
        <v>3.6928895770185362</v>
      </c>
      <c r="Q169" s="2">
        <f t="shared" si="42"/>
        <v>3.6928895770185362</v>
      </c>
      <c r="R169" s="2">
        <f t="shared" si="42"/>
        <v>3.6928895770185362</v>
      </c>
    </row>
    <row r="170" spans="2:18" x14ac:dyDescent="0.2">
      <c r="B170" s="118" t="s">
        <v>246</v>
      </c>
      <c r="D170" s="28">
        <f>D87/D$6</f>
        <v>3.4491542694110457E-2</v>
      </c>
      <c r="E170" s="28">
        <f>E87/E$6</f>
        <v>3.2960678488820352E-2</v>
      </c>
      <c r="F170" s="28">
        <f>F87/F$6</f>
        <v>3.6730470770822553E-2</v>
      </c>
      <c r="G170" s="28">
        <f>G87/G$6</f>
        <v>3.5131441434198891E-2</v>
      </c>
      <c r="H170" s="28">
        <f>H87/H$6</f>
        <v>5.2608568930341007E-2</v>
      </c>
      <c r="I170" s="28">
        <f>AVERAGE($D$170:$H$170)</f>
        <v>3.8384540463658655E-2</v>
      </c>
      <c r="J170" s="28">
        <f t="shared" ref="J170:R170" si="43">AVERAGE($D$170:$H$170)</f>
        <v>3.8384540463658655E-2</v>
      </c>
      <c r="K170" s="28">
        <f t="shared" si="43"/>
        <v>3.8384540463658655E-2</v>
      </c>
      <c r="L170" s="28">
        <f t="shared" si="43"/>
        <v>3.8384540463658655E-2</v>
      </c>
      <c r="M170" s="28">
        <f t="shared" si="43"/>
        <v>3.8384540463658655E-2</v>
      </c>
      <c r="N170" s="28">
        <f t="shared" si="43"/>
        <v>3.8384540463658655E-2</v>
      </c>
      <c r="O170" s="28">
        <f t="shared" si="43"/>
        <v>3.8384540463658655E-2</v>
      </c>
      <c r="P170" s="28">
        <f t="shared" si="43"/>
        <v>3.8384540463658655E-2</v>
      </c>
      <c r="Q170" s="28">
        <f t="shared" si="43"/>
        <v>3.8384540463658655E-2</v>
      </c>
      <c r="R170" s="28">
        <f t="shared" si="43"/>
        <v>3.8384540463658655E-2</v>
      </c>
    </row>
    <row r="172" spans="2:18" ht="15" x14ac:dyDescent="0.25">
      <c r="B172" s="5" t="s">
        <v>249</v>
      </c>
    </row>
    <row r="173" spans="2:18" x14ac:dyDescent="0.2">
      <c r="B173" s="118" t="s">
        <v>250</v>
      </c>
      <c r="D173" s="2">
        <f>-D7/D112</f>
        <v>4.4229531641043973</v>
      </c>
      <c r="E173" s="2">
        <f>-E7/E112</f>
        <v>4.202799479166667</v>
      </c>
      <c r="F173" s="2">
        <f>-F7/F112</f>
        <v>4.1117384843982165</v>
      </c>
      <c r="G173" s="2">
        <f>-G7/G112</f>
        <v>3.9298531810766719</v>
      </c>
      <c r="H173" s="2">
        <f>-H7/H112</f>
        <v>3.8687619961612283</v>
      </c>
      <c r="I173" s="2">
        <f>AVERAGE($D$173:$H$173)</f>
        <v>4.1072212609814365</v>
      </c>
      <c r="J173" s="2">
        <f t="shared" ref="J173:R173" si="44">AVERAGE($D$173:$H$173)</f>
        <v>4.1072212609814365</v>
      </c>
      <c r="K173" s="2">
        <f t="shared" si="44"/>
        <v>4.1072212609814365</v>
      </c>
      <c r="L173" s="2">
        <f t="shared" si="44"/>
        <v>4.1072212609814365</v>
      </c>
      <c r="M173" s="2">
        <f t="shared" si="44"/>
        <v>4.1072212609814365</v>
      </c>
      <c r="N173" s="2">
        <f t="shared" si="44"/>
        <v>4.1072212609814365</v>
      </c>
      <c r="O173" s="2">
        <f t="shared" si="44"/>
        <v>4.1072212609814365</v>
      </c>
      <c r="P173" s="2">
        <f t="shared" si="44"/>
        <v>4.1072212609814365</v>
      </c>
      <c r="Q173" s="2">
        <f t="shared" si="44"/>
        <v>4.1072212609814365</v>
      </c>
      <c r="R173" s="2">
        <f t="shared" si="44"/>
        <v>4.1072212609814365</v>
      </c>
    </row>
    <row r="174" spans="2:18" x14ac:dyDescent="0.2">
      <c r="B174" s="118" t="s">
        <v>261</v>
      </c>
      <c r="D174" s="28">
        <f>-D113/D7</f>
        <v>4.0497938727669547E-2</v>
      </c>
      <c r="E174" s="28">
        <f>-E113/E7</f>
        <v>3.6170707148942764E-2</v>
      </c>
      <c r="F174" s="28">
        <f>-F113/F7</f>
        <v>4.8858051459959528E-2</v>
      </c>
      <c r="G174" s="28">
        <f>-G113/G7</f>
        <v>4.6353950463539503E-2</v>
      </c>
      <c r="H174" s="28">
        <f>-H113/H7</f>
        <v>3.9937984496124034E-2</v>
      </c>
      <c r="I174" s="28">
        <f>AVERAGE($D$174:$H$174)</f>
        <v>4.2363726459247082E-2</v>
      </c>
      <c r="J174" s="28">
        <f t="shared" ref="J174:R174" si="45">AVERAGE($D$174:$H$174)</f>
        <v>4.2363726459247082E-2</v>
      </c>
      <c r="K174" s="28">
        <f t="shared" si="45"/>
        <v>4.2363726459247082E-2</v>
      </c>
      <c r="L174" s="28">
        <f t="shared" si="45"/>
        <v>4.2363726459247082E-2</v>
      </c>
      <c r="M174" s="28">
        <f t="shared" si="45"/>
        <v>4.2363726459247082E-2</v>
      </c>
      <c r="N174" s="28">
        <f t="shared" si="45"/>
        <v>4.2363726459247082E-2</v>
      </c>
      <c r="O174" s="28">
        <f t="shared" si="45"/>
        <v>4.2363726459247082E-2</v>
      </c>
      <c r="P174" s="28">
        <f t="shared" si="45"/>
        <v>4.2363726459247082E-2</v>
      </c>
      <c r="Q174" s="28">
        <f t="shared" si="45"/>
        <v>4.2363726459247082E-2</v>
      </c>
      <c r="R174" s="28">
        <f t="shared" si="45"/>
        <v>4.2363726459247082E-2</v>
      </c>
    </row>
    <row r="175" spans="2:18" x14ac:dyDescent="0.2">
      <c r="B175" s="118" t="s">
        <v>251</v>
      </c>
      <c r="D175" s="28">
        <f>D111/D$6</f>
        <v>6.6231913592826579E-4</v>
      </c>
      <c r="E175" s="28">
        <f>E111/E$6</f>
        <v>1.5612952968388589E-2</v>
      </c>
      <c r="F175" s="28">
        <f>F111/F$6</f>
        <v>3.4488704949129159E-4</v>
      </c>
      <c r="G175" s="28">
        <f>G111/G$6</f>
        <v>0</v>
      </c>
      <c r="H175" s="28">
        <f>H111/H$6</f>
        <v>3.6432526960069953E-5</v>
      </c>
      <c r="I175" s="28">
        <v>1E-3</v>
      </c>
      <c r="J175" s="28">
        <v>1E-3</v>
      </c>
      <c r="K175" s="28">
        <v>1E-3</v>
      </c>
      <c r="L175" s="28">
        <v>1E-3</v>
      </c>
      <c r="M175" s="28">
        <v>1E-3</v>
      </c>
      <c r="N175" s="28">
        <v>1E-3</v>
      </c>
      <c r="O175" s="28">
        <v>1E-3</v>
      </c>
      <c r="P175" s="28">
        <v>1E-3</v>
      </c>
      <c r="Q175" s="28">
        <v>1E-3</v>
      </c>
      <c r="R175" s="28">
        <v>1E-3</v>
      </c>
    </row>
    <row r="176" spans="2:18" x14ac:dyDescent="0.2">
      <c r="B176" s="118" t="s">
        <v>252</v>
      </c>
    </row>
    <row r="177" spans="2:18" x14ac:dyDescent="0.2">
      <c r="B177" s="118" t="s">
        <v>258</v>
      </c>
      <c r="D177" s="28">
        <f>D115/D6</f>
        <v>0.1103525575708172</v>
      </c>
      <c r="E177" s="28">
        <f>E115/E6</f>
        <v>0.11984387047031611</v>
      </c>
      <c r="F177" s="28">
        <f>F115/F6</f>
        <v>0.1155802724607691</v>
      </c>
      <c r="G177" s="28">
        <f>G115/G6</f>
        <v>0.11391590963903851</v>
      </c>
      <c r="H177" s="28">
        <f>H115/H6</f>
        <v>0.1246356747303993</v>
      </c>
      <c r="I177" s="28">
        <f>AVERAGE($D$177:$H$177)</f>
        <v>0.11686565697426805</v>
      </c>
      <c r="J177" s="28">
        <f t="shared" ref="J177:R177" si="46">AVERAGE($D$177:$H$177)</f>
        <v>0.11686565697426805</v>
      </c>
      <c r="K177" s="28">
        <f t="shared" si="46"/>
        <v>0.11686565697426805</v>
      </c>
      <c r="L177" s="28">
        <f t="shared" si="46"/>
        <v>0.11686565697426805</v>
      </c>
      <c r="M177" s="28">
        <f t="shared" si="46"/>
        <v>0.11686565697426805</v>
      </c>
      <c r="N177" s="28">
        <f t="shared" si="46"/>
        <v>0.11686565697426805</v>
      </c>
      <c r="O177" s="28">
        <f t="shared" si="46"/>
        <v>0.11686565697426805</v>
      </c>
      <c r="P177" s="28">
        <f t="shared" si="46"/>
        <v>0.11686565697426805</v>
      </c>
      <c r="Q177" s="28">
        <f t="shared" si="46"/>
        <v>0.11686565697426805</v>
      </c>
      <c r="R177" s="28">
        <f t="shared" si="46"/>
        <v>0.11686565697426805</v>
      </c>
    </row>
    <row r="179" spans="2:18" ht="15" x14ac:dyDescent="0.25">
      <c r="B179" s="123" t="s">
        <v>254</v>
      </c>
    </row>
    <row r="180" spans="2:18" ht="15" x14ac:dyDescent="0.25">
      <c r="B180" s="5" t="s">
        <v>248</v>
      </c>
    </row>
    <row r="181" spans="2:18" x14ac:dyDescent="0.2">
      <c r="B181" s="118" t="s">
        <v>255</v>
      </c>
      <c r="G181" s="4">
        <f t="shared" ref="G181:R181" si="47">G6/G168</f>
        <v>4619</v>
      </c>
      <c r="H181" s="4">
        <f t="shared" si="47"/>
        <v>5387</v>
      </c>
      <c r="I181" s="4">
        <f t="shared" si="47"/>
        <v>5662.6439207375515</v>
      </c>
      <c r="J181" s="4">
        <f t="shared" si="47"/>
        <v>6240.5047546005244</v>
      </c>
      <c r="K181" s="4">
        <f t="shared" si="47"/>
        <v>6877.3350642043115</v>
      </c>
      <c r="L181" s="4">
        <f t="shared" si="47"/>
        <v>7579.1525598095332</v>
      </c>
      <c r="M181" s="4">
        <f t="shared" si="47"/>
        <v>8352.5890462795796</v>
      </c>
      <c r="N181" s="4">
        <f t="shared" si="47"/>
        <v>9154.3799302922616</v>
      </c>
      <c r="O181" s="4">
        <f t="shared" si="47"/>
        <v>9977.7093697403488</v>
      </c>
      <c r="P181" s="4">
        <f t="shared" si="47"/>
        <v>10814.674746055922</v>
      </c>
      <c r="Q181" s="4">
        <f t="shared" si="47"/>
        <v>11656.367155706545</v>
      </c>
      <c r="R181" s="4">
        <f t="shared" si="47"/>
        <v>12140.106392668367</v>
      </c>
    </row>
    <row r="182" spans="2:18" x14ac:dyDescent="0.2">
      <c r="B182" s="118" t="s">
        <v>30</v>
      </c>
      <c r="G182" s="4">
        <f t="shared" ref="G182:R182" si="48">-G7/G169</f>
        <v>4228</v>
      </c>
      <c r="H182" s="4">
        <f t="shared" si="48"/>
        <v>4721</v>
      </c>
      <c r="I182" s="4">
        <f t="shared" si="48"/>
        <v>4781.3954701185012</v>
      </c>
      <c r="J182" s="4">
        <f t="shared" si="48"/>
        <v>5235.4983892905175</v>
      </c>
      <c r="K182" s="4">
        <f t="shared" si="48"/>
        <v>5732.4894367435472</v>
      </c>
      <c r="L182" s="4">
        <f t="shared" si="48"/>
        <v>6276.3929743102663</v>
      </c>
      <c r="M182" s="4">
        <f t="shared" si="48"/>
        <v>6871.6080919111882</v>
      </c>
      <c r="N182" s="4">
        <f t="shared" si="48"/>
        <v>7481.6111914910252</v>
      </c>
      <c r="O182" s="4">
        <f t="shared" si="48"/>
        <v>8100.4077201921664</v>
      </c>
      <c r="P182" s="4">
        <f t="shared" si="48"/>
        <v>8721.2745049785044</v>
      </c>
      <c r="Q182" s="4">
        <f t="shared" si="48"/>
        <v>9336.853682894518</v>
      </c>
      <c r="R182" s="4">
        <f t="shared" si="48"/>
        <v>9658.5243211113193</v>
      </c>
    </row>
    <row r="183" spans="2:18" x14ac:dyDescent="0.2">
      <c r="B183" s="118" t="s">
        <v>256</v>
      </c>
      <c r="G183" s="4">
        <f t="shared" ref="G183:R183" si="49">G170*G6</f>
        <v>874</v>
      </c>
      <c r="H183" s="4">
        <f t="shared" si="49"/>
        <v>1444</v>
      </c>
      <c r="I183" s="4">
        <f t="shared" si="49"/>
        <v>1161.094361341683</v>
      </c>
      <c r="J183" s="4">
        <f t="shared" si="49"/>
        <v>1279.581584841887</v>
      </c>
      <c r="K183" s="4">
        <f t="shared" si="49"/>
        <v>1410.1601788630571</v>
      </c>
      <c r="L183" s="4">
        <f t="shared" si="49"/>
        <v>1554.0640421898593</v>
      </c>
      <c r="M183" s="4">
        <f t="shared" si="49"/>
        <v>1712.6529903678559</v>
      </c>
      <c r="N183" s="4">
        <f t="shared" si="49"/>
        <v>1877.0558536651531</v>
      </c>
      <c r="O183" s="4">
        <f t="shared" si="49"/>
        <v>2045.8750806995222</v>
      </c>
      <c r="P183" s="4">
        <f t="shared" si="49"/>
        <v>2217.4902824817414</v>
      </c>
      <c r="Q183" s="4">
        <f t="shared" si="49"/>
        <v>2390.0747367594427</v>
      </c>
      <c r="R183" s="4">
        <f t="shared" si="49"/>
        <v>2489.2628383349597</v>
      </c>
    </row>
    <row r="184" spans="2:18" ht="15" x14ac:dyDescent="0.25">
      <c r="B184" s="7" t="s">
        <v>260</v>
      </c>
      <c r="C184" s="5"/>
      <c r="D184" s="8"/>
      <c r="E184" s="8"/>
      <c r="F184" s="8"/>
      <c r="G184" s="124">
        <f>SUM(G181:G183)</f>
        <v>9721</v>
      </c>
      <c r="H184" s="124">
        <f>SUM(H181:H183)</f>
        <v>11552</v>
      </c>
      <c r="I184" s="124">
        <f>SUM(I181:I183)</f>
        <v>11605.133752197737</v>
      </c>
      <c r="J184" s="124">
        <f t="shared" ref="J184:R184" si="50">SUM(J181:J183)</f>
        <v>12755.584728732927</v>
      </c>
      <c r="K184" s="124">
        <f t="shared" si="50"/>
        <v>14019.984679810917</v>
      </c>
      <c r="L184" s="124">
        <f t="shared" si="50"/>
        <v>15409.609576309658</v>
      </c>
      <c r="M184" s="124">
        <f t="shared" si="50"/>
        <v>16936.850128558624</v>
      </c>
      <c r="N184" s="124">
        <f t="shared" si="50"/>
        <v>18513.046975448437</v>
      </c>
      <c r="O184" s="124">
        <f t="shared" si="50"/>
        <v>20123.992170632038</v>
      </c>
      <c r="P184" s="124">
        <f t="shared" si="50"/>
        <v>21753.439533516168</v>
      </c>
      <c r="Q184" s="124">
        <f t="shared" si="50"/>
        <v>23383.295575360502</v>
      </c>
      <c r="R184" s="124">
        <f t="shared" si="50"/>
        <v>24287.893552114645</v>
      </c>
    </row>
    <row r="186" spans="2:18" ht="15" x14ac:dyDescent="0.25">
      <c r="B186" s="5" t="s">
        <v>249</v>
      </c>
    </row>
    <row r="187" spans="2:18" x14ac:dyDescent="0.2">
      <c r="B187" s="118" t="s">
        <v>53</v>
      </c>
      <c r="G187" s="4">
        <f t="shared" ref="G187:R187" si="51">-G7/G173</f>
        <v>3678</v>
      </c>
      <c r="H187" s="4">
        <f t="shared" si="51"/>
        <v>4168</v>
      </c>
      <c r="I187" s="4">
        <f t="shared" si="51"/>
        <v>4299.053879309392</v>
      </c>
      <c r="J187" s="4">
        <f t="shared" si="51"/>
        <v>4707.3474263444778</v>
      </c>
      <c r="K187" s="4">
        <f t="shared" si="51"/>
        <v>5154.2025973688551</v>
      </c>
      <c r="L187" s="4">
        <f t="shared" si="51"/>
        <v>5643.237781293592</v>
      </c>
      <c r="M187" s="4">
        <f t="shared" si="51"/>
        <v>6178.4082929857404</v>
      </c>
      <c r="N187" s="4">
        <f t="shared" si="51"/>
        <v>6726.8749923057321</v>
      </c>
      <c r="O187" s="4">
        <f t="shared" si="51"/>
        <v>7283.248049887161</v>
      </c>
      <c r="P187" s="4">
        <f t="shared" si="51"/>
        <v>7841.4825185377749</v>
      </c>
      <c r="Q187" s="4">
        <f t="shared" si="51"/>
        <v>8394.9627879237196</v>
      </c>
      <c r="R187" s="4">
        <f t="shared" si="51"/>
        <v>8684.1836678380096</v>
      </c>
    </row>
    <row r="188" spans="2:18" x14ac:dyDescent="0.2">
      <c r="B188" s="118" t="s">
        <v>257</v>
      </c>
      <c r="G188" s="4">
        <f t="shared" ref="G188:R188" si="52">-G7*G174</f>
        <v>670</v>
      </c>
      <c r="H188" s="4">
        <f t="shared" si="52"/>
        <v>644</v>
      </c>
      <c r="I188" s="4">
        <f t="shared" si="52"/>
        <v>748.02332908448909</v>
      </c>
      <c r="J188" s="4">
        <f t="shared" si="52"/>
        <v>819.06526223326875</v>
      </c>
      <c r="K188" s="4">
        <f t="shared" si="52"/>
        <v>896.81680990681627</v>
      </c>
      <c r="L188" s="4">
        <f t="shared" si="52"/>
        <v>981.90756163696005</v>
      </c>
      <c r="M188" s="4">
        <f t="shared" si="52"/>
        <v>1075.025731127806</v>
      </c>
      <c r="N188" s="4">
        <f t="shared" si="52"/>
        <v>1170.4574000100829</v>
      </c>
      <c r="O188" s="4">
        <f t="shared" si="52"/>
        <v>1267.2647530762958</v>
      </c>
      <c r="P188" s="4">
        <f t="shared" si="52"/>
        <v>1364.3959864528877</v>
      </c>
      <c r="Q188" s="4">
        <f t="shared" si="52"/>
        <v>1460.7000024786564</v>
      </c>
      <c r="R188" s="4">
        <f t="shared" si="52"/>
        <v>1511.0236251890992</v>
      </c>
    </row>
    <row r="189" spans="2:18" x14ac:dyDescent="0.2">
      <c r="B189" s="118" t="s">
        <v>52</v>
      </c>
      <c r="G189" s="4">
        <f t="shared" ref="G189:R189" si="53">G175*G6</f>
        <v>0</v>
      </c>
      <c r="H189" s="4">
        <f t="shared" si="53"/>
        <v>1</v>
      </c>
      <c r="I189" s="4">
        <f t="shared" si="53"/>
        <v>30.249010338966357</v>
      </c>
      <c r="J189" s="4">
        <f t="shared" si="53"/>
        <v>33.335857858018564</v>
      </c>
      <c r="K189" s="4">
        <f t="shared" si="53"/>
        <v>36.737711636750085</v>
      </c>
      <c r="L189" s="4">
        <f t="shared" si="53"/>
        <v>40.486717397625256</v>
      </c>
      <c r="M189" s="4">
        <f t="shared" si="53"/>
        <v>44.618301266087705</v>
      </c>
      <c r="N189" s="4">
        <f t="shared" si="53"/>
        <v>48.901350152733862</v>
      </c>
      <c r="O189" s="4">
        <f t="shared" si="53"/>
        <v>53.299454832251961</v>
      </c>
      <c r="P189" s="4">
        <f t="shared" si="53"/>
        <v>57.770400679440087</v>
      </c>
      <c r="Q189" s="4">
        <f t="shared" si="53"/>
        <v>62.266597642931139</v>
      </c>
      <c r="R189" s="4">
        <f t="shared" si="53"/>
        <v>64.850661445112777</v>
      </c>
    </row>
    <row r="190" spans="2:18" x14ac:dyDescent="0.2">
      <c r="B190" s="118" t="s">
        <v>252</v>
      </c>
    </row>
    <row r="191" spans="2:18" ht="15" x14ac:dyDescent="0.25">
      <c r="B191" s="7" t="s">
        <v>262</v>
      </c>
      <c r="C191" s="5"/>
      <c r="D191" s="8"/>
      <c r="E191" s="8"/>
      <c r="F191" s="8"/>
      <c r="G191" s="124">
        <f>SUM(G187:G190)</f>
        <v>4348</v>
      </c>
      <c r="H191" s="124">
        <f>SUM(H187:H190)</f>
        <v>4813</v>
      </c>
      <c r="I191" s="124">
        <f>SUM(I187:I190)</f>
        <v>5077.3262187328473</v>
      </c>
      <c r="J191" s="124">
        <f t="shared" ref="J191:R191" si="54">SUM(J187:J190)</f>
        <v>5559.7485464357651</v>
      </c>
      <c r="K191" s="124">
        <f t="shared" si="54"/>
        <v>6087.757118912421</v>
      </c>
      <c r="L191" s="124">
        <f t="shared" si="54"/>
        <v>6665.6320603281774</v>
      </c>
      <c r="M191" s="124">
        <f t="shared" si="54"/>
        <v>7298.0523253796346</v>
      </c>
      <c r="N191" s="124">
        <f t="shared" si="54"/>
        <v>7946.2337424685493</v>
      </c>
      <c r="O191" s="124">
        <f t="shared" si="54"/>
        <v>8603.8122577957074</v>
      </c>
      <c r="P191" s="124">
        <f t="shared" si="54"/>
        <v>9263.6489056701012</v>
      </c>
      <c r="Q191" s="124">
        <f t="shared" si="54"/>
        <v>9917.929388045306</v>
      </c>
      <c r="R191" s="124">
        <f t="shared" si="54"/>
        <v>10260.057954472222</v>
      </c>
    </row>
    <row r="193" spans="1:18" x14ac:dyDescent="0.2">
      <c r="B193" s="1" t="s">
        <v>243</v>
      </c>
      <c r="G193" s="4">
        <f>G184-G191</f>
        <v>5373</v>
      </c>
      <c r="H193" s="4">
        <f>H184-H191</f>
        <v>6739</v>
      </c>
      <c r="I193" s="4">
        <f>I184-I191</f>
        <v>6527.8075334648893</v>
      </c>
      <c r="J193" s="4">
        <f t="shared" ref="J193:Q193" si="55">J184-J191</f>
        <v>7195.8361822971619</v>
      </c>
      <c r="K193" s="4">
        <f t="shared" si="55"/>
        <v>7932.2275608984964</v>
      </c>
      <c r="L193" s="4">
        <f t="shared" si="55"/>
        <v>8743.9775159814817</v>
      </c>
      <c r="M193" s="4">
        <f t="shared" si="55"/>
        <v>9638.7978031789899</v>
      </c>
      <c r="N193" s="4">
        <f t="shared" si="55"/>
        <v>10566.813232979886</v>
      </c>
      <c r="O193" s="4">
        <f t="shared" si="55"/>
        <v>11520.179912836331</v>
      </c>
      <c r="P193" s="4">
        <f t="shared" si="55"/>
        <v>12489.790627846067</v>
      </c>
      <c r="Q193" s="4">
        <f t="shared" si="55"/>
        <v>13465.366187315196</v>
      </c>
      <c r="R193" s="4">
        <f>R184-R191</f>
        <v>14027.835597642423</v>
      </c>
    </row>
    <row r="194" spans="1:18" x14ac:dyDescent="0.2">
      <c r="B194" s="1" t="s">
        <v>244</v>
      </c>
      <c r="H194" s="6">
        <f>G193-H193</f>
        <v>-1366</v>
      </c>
      <c r="I194" s="6">
        <f t="shared" ref="I194:R194" si="56">H193-I193</f>
        <v>211.19246653511073</v>
      </c>
      <c r="J194" s="6">
        <f t="shared" si="56"/>
        <v>-668.02864883227267</v>
      </c>
      <c r="K194" s="6">
        <f t="shared" si="56"/>
        <v>-736.39137860133451</v>
      </c>
      <c r="L194" s="6">
        <f t="shared" si="56"/>
        <v>-811.74995508298525</v>
      </c>
      <c r="M194" s="6">
        <f t="shared" si="56"/>
        <v>-894.82028719750815</v>
      </c>
      <c r="N194" s="6">
        <f t="shared" si="56"/>
        <v>-928.01542980089653</v>
      </c>
      <c r="O194" s="6">
        <f t="shared" si="56"/>
        <v>-953.36667985644453</v>
      </c>
      <c r="P194" s="6">
        <f t="shared" si="56"/>
        <v>-969.61071500973594</v>
      </c>
      <c r="Q194" s="6">
        <f t="shared" si="56"/>
        <v>-975.57555946912908</v>
      </c>
      <c r="R194" s="6">
        <f t="shared" si="56"/>
        <v>-562.4694103272268</v>
      </c>
    </row>
    <row r="197" spans="1:18" ht="15" x14ac:dyDescent="0.25">
      <c r="B197" s="24" t="s">
        <v>354</v>
      </c>
      <c r="C197" s="22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spans="1:18" ht="3.95" customHeight="1" x14ac:dyDescent="0.2"/>
    <row r="199" spans="1:18" x14ac:dyDescent="0.2">
      <c r="B199" s="118" t="s">
        <v>182</v>
      </c>
      <c r="C199" s="6">
        <v>2223</v>
      </c>
      <c r="D199" s="6">
        <v>2648</v>
      </c>
      <c r="E199" s="6">
        <v>3039</v>
      </c>
      <c r="F199" s="6">
        <v>3413</v>
      </c>
      <c r="G199" s="6">
        <v>3744</v>
      </c>
      <c r="H199" s="6">
        <v>4249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x14ac:dyDescent="0.2">
      <c r="B200" s="118" t="s">
        <v>355</v>
      </c>
      <c r="C200" s="6">
        <v>6680</v>
      </c>
      <c r="D200" s="6">
        <v>7242</v>
      </c>
      <c r="E200" s="6">
        <v>8497</v>
      </c>
      <c r="F200" s="6">
        <v>10098</v>
      </c>
      <c r="G200" s="6">
        <v>11436</v>
      </c>
      <c r="H200" s="6">
        <v>13276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x14ac:dyDescent="0.2">
      <c r="B201" s="118" t="s">
        <v>356</v>
      </c>
      <c r="C201" s="6">
        <v>4703</v>
      </c>
      <c r="D201" s="6">
        <v>5516</v>
      </c>
      <c r="E201" s="6">
        <v>5848</v>
      </c>
      <c r="F201" s="6">
        <v>6084</v>
      </c>
      <c r="G201" s="6">
        <v>6248</v>
      </c>
      <c r="H201" s="6">
        <v>6815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x14ac:dyDescent="0.2">
      <c r="B202" s="118" t="s">
        <v>363</v>
      </c>
      <c r="C202" s="6">
        <v>292</v>
      </c>
      <c r="D202" s="6">
        <v>343</v>
      </c>
      <c r="E202" s="6">
        <v>538</v>
      </c>
      <c r="F202" s="6">
        <v>636</v>
      </c>
      <c r="G202" s="6">
        <v>662</v>
      </c>
      <c r="H202" s="6">
        <v>604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x14ac:dyDescent="0.2">
      <c r="B203" s="118" t="s">
        <v>358</v>
      </c>
      <c r="C203" s="6">
        <v>2118</v>
      </c>
      <c r="D203" s="6">
        <v>2579</v>
      </c>
      <c r="E203" s="6">
        <v>2830</v>
      </c>
      <c r="F203" s="6">
        <v>2965</v>
      </c>
      <c r="G203" s="6">
        <v>2790</v>
      </c>
      <c r="H203" s="6">
        <v>2505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x14ac:dyDescent="0.2">
      <c r="B204" s="118" t="s">
        <v>357</v>
      </c>
      <c r="C204" s="6">
        <v>1842</v>
      </c>
      <c r="D204" s="6">
        <v>1300</v>
      </c>
      <c r="E204" s="6">
        <v>0</v>
      </c>
      <c r="F204" s="6">
        <v>0</v>
      </c>
      <c r="G204" s="6">
        <v>0</v>
      </c>
      <c r="H204" s="6">
        <v>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s="17" customFormat="1" ht="15.75" thickBot="1" x14ac:dyDescent="0.3">
      <c r="A205" s="5"/>
      <c r="B205" s="232" t="s">
        <v>359</v>
      </c>
      <c r="C205" s="233">
        <f t="shared" ref="C205:H205" si="57">SUM(C199:C204)</f>
        <v>17858</v>
      </c>
      <c r="D205" s="233">
        <f t="shared" si="57"/>
        <v>19628</v>
      </c>
      <c r="E205" s="233">
        <f t="shared" si="57"/>
        <v>20752</v>
      </c>
      <c r="F205" s="233">
        <f t="shared" si="57"/>
        <v>23196</v>
      </c>
      <c r="G205" s="233">
        <f t="shared" si="57"/>
        <v>24880</v>
      </c>
      <c r="H205" s="233">
        <f t="shared" si="57"/>
        <v>27449</v>
      </c>
      <c r="I205" s="233">
        <v>30249</v>
      </c>
      <c r="J205" s="233">
        <f t="shared" ref="J205:R205" si="58">SUM(J199:J204)</f>
        <v>0</v>
      </c>
      <c r="K205" s="233">
        <f t="shared" si="58"/>
        <v>0</v>
      </c>
      <c r="L205" s="233">
        <f t="shared" si="58"/>
        <v>0</v>
      </c>
      <c r="M205" s="233">
        <f t="shared" si="58"/>
        <v>0</v>
      </c>
      <c r="N205" s="233">
        <f t="shared" si="58"/>
        <v>0</v>
      </c>
      <c r="O205" s="233">
        <f t="shared" si="58"/>
        <v>0</v>
      </c>
      <c r="P205" s="233">
        <f t="shared" si="58"/>
        <v>0</v>
      </c>
      <c r="Q205" s="233">
        <f t="shared" si="58"/>
        <v>0</v>
      </c>
      <c r="R205" s="233">
        <f t="shared" si="58"/>
        <v>0</v>
      </c>
    </row>
    <row r="207" spans="1:18" ht="15" x14ac:dyDescent="0.25">
      <c r="B207" s="229" t="s">
        <v>360</v>
      </c>
      <c r="C207" s="230"/>
      <c r="D207" s="143"/>
      <c r="E207" s="143"/>
      <c r="F207" s="143"/>
      <c r="G207" s="143"/>
      <c r="H207" s="143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</row>
    <row r="208" spans="1:18" ht="3.95" customHeight="1" x14ac:dyDescent="0.2"/>
    <row r="209" spans="1:18" x14ac:dyDescent="0.2">
      <c r="B209" s="118" t="s">
        <v>182</v>
      </c>
      <c r="D209" s="28">
        <f t="shared" ref="D209:H213" si="59">D199/C199-1</f>
        <v>0.19118308591992794</v>
      </c>
      <c r="E209" s="28">
        <f t="shared" si="59"/>
        <v>0.1476586102719033</v>
      </c>
      <c r="F209" s="28">
        <f t="shared" si="59"/>
        <v>0.12306679828891087</v>
      </c>
      <c r="G209" s="28">
        <f t="shared" si="59"/>
        <v>9.6982127160855525E-2</v>
      </c>
      <c r="H209" s="28">
        <f t="shared" si="59"/>
        <v>0.13488247863247871</v>
      </c>
      <c r="I209" s="28">
        <v>8.5000000000000006E-2</v>
      </c>
      <c r="J209" s="28">
        <f t="shared" ref="J209:R209" si="60">AVERAGE(E209:I209)</f>
        <v>0.11751800287082967</v>
      </c>
      <c r="K209" s="28">
        <f t="shared" si="60"/>
        <v>0.11148988139061496</v>
      </c>
      <c r="L209" s="28">
        <f t="shared" si="60"/>
        <v>0.10917449801095577</v>
      </c>
      <c r="M209" s="28">
        <f t="shared" si="60"/>
        <v>0.11161297218097581</v>
      </c>
      <c r="N209" s="28">
        <f t="shared" si="60"/>
        <v>0.10695907089067522</v>
      </c>
      <c r="O209" s="28">
        <f t="shared" si="60"/>
        <v>0.11135088506881027</v>
      </c>
      <c r="P209" s="28">
        <f t="shared" si="60"/>
        <v>0.11011746150840643</v>
      </c>
      <c r="Q209" s="28">
        <f t="shared" si="60"/>
        <v>0.1098429775319647</v>
      </c>
      <c r="R209" s="28">
        <f t="shared" si="60"/>
        <v>0.10997667343616649</v>
      </c>
    </row>
    <row r="210" spans="1:18" x14ac:dyDescent="0.2">
      <c r="B210" s="118" t="s">
        <v>355</v>
      </c>
      <c r="D210" s="28">
        <f t="shared" si="59"/>
        <v>8.4131736526946055E-2</v>
      </c>
      <c r="E210" s="28">
        <f t="shared" si="59"/>
        <v>0.17329466998066834</v>
      </c>
      <c r="F210" s="28">
        <f t="shared" si="59"/>
        <v>0.18841944215605499</v>
      </c>
      <c r="G210" s="28">
        <f t="shared" si="59"/>
        <v>0.13250148544266183</v>
      </c>
      <c r="H210" s="28">
        <f t="shared" si="59"/>
        <v>0.16089541797831419</v>
      </c>
      <c r="I210" s="28">
        <v>0.13</v>
      </c>
      <c r="J210" s="28">
        <f t="shared" ref="J210:R213" si="61">AVERAGE(E210:I210)</f>
        <v>0.15702220311153986</v>
      </c>
      <c r="K210" s="28">
        <f t="shared" si="61"/>
        <v>0.1537677097377142</v>
      </c>
      <c r="L210" s="28">
        <f t="shared" si="61"/>
        <v>0.146837363254046</v>
      </c>
      <c r="M210" s="28">
        <f t="shared" si="61"/>
        <v>0.14970453881632287</v>
      </c>
      <c r="N210" s="28">
        <f t="shared" si="61"/>
        <v>0.1474663629839246</v>
      </c>
      <c r="O210" s="28">
        <f t="shared" si="61"/>
        <v>0.15095963558070952</v>
      </c>
      <c r="P210" s="28">
        <f t="shared" si="61"/>
        <v>0.14974712207454344</v>
      </c>
      <c r="Q210" s="28">
        <f t="shared" si="61"/>
        <v>0.14894300454190929</v>
      </c>
      <c r="R210" s="28">
        <f t="shared" si="61"/>
        <v>0.14936413279948196</v>
      </c>
    </row>
    <row r="211" spans="1:18" x14ac:dyDescent="0.2">
      <c r="B211" s="118" t="s">
        <v>356</v>
      </c>
      <c r="D211" s="28">
        <f t="shared" si="59"/>
        <v>0.17286838188390385</v>
      </c>
      <c r="E211" s="28">
        <f t="shared" si="59"/>
        <v>6.0188542422044966E-2</v>
      </c>
      <c r="F211" s="28">
        <f t="shared" si="59"/>
        <v>4.035567715458277E-2</v>
      </c>
      <c r="G211" s="28">
        <f t="shared" si="59"/>
        <v>2.6955950032873099E-2</v>
      </c>
      <c r="H211" s="28">
        <f t="shared" si="59"/>
        <v>9.0749039692701761E-2</v>
      </c>
      <c r="I211" s="28">
        <v>7.4999999999999997E-2</v>
      </c>
      <c r="J211" s="28">
        <f t="shared" si="61"/>
        <v>5.8649841860440519E-2</v>
      </c>
      <c r="K211" s="28">
        <f t="shared" si="61"/>
        <v>5.8342101748119636E-2</v>
      </c>
      <c r="L211" s="28">
        <f t="shared" si="61"/>
        <v>6.1939386666827009E-2</v>
      </c>
      <c r="M211" s="28">
        <f t="shared" si="61"/>
        <v>6.89360739936178E-2</v>
      </c>
      <c r="N211" s="28">
        <f t="shared" si="61"/>
        <v>6.4573480853800991E-2</v>
      </c>
      <c r="O211" s="28">
        <f t="shared" si="61"/>
        <v>6.2488177024561185E-2</v>
      </c>
      <c r="P211" s="28">
        <f t="shared" si="61"/>
        <v>6.3255844057385324E-2</v>
      </c>
      <c r="Q211" s="28">
        <f t="shared" si="61"/>
        <v>6.4238592519238455E-2</v>
      </c>
      <c r="R211" s="28">
        <f t="shared" si="61"/>
        <v>6.4698433689720752E-2</v>
      </c>
    </row>
    <row r="212" spans="1:18" x14ac:dyDescent="0.2">
      <c r="B212" s="118" t="s">
        <v>363</v>
      </c>
      <c r="D212" s="28">
        <f t="shared" si="59"/>
        <v>0.17465753424657526</v>
      </c>
      <c r="E212" s="28">
        <f t="shared" si="59"/>
        <v>0.56851311953352779</v>
      </c>
      <c r="F212" s="28">
        <f t="shared" si="59"/>
        <v>0.18215613382899631</v>
      </c>
      <c r="G212" s="28">
        <f t="shared" si="59"/>
        <v>4.088050314465419E-2</v>
      </c>
      <c r="H212" s="28">
        <f t="shared" si="59"/>
        <v>-8.7613293051359564E-2</v>
      </c>
      <c r="I212" s="28">
        <v>0.03</v>
      </c>
      <c r="J212" s="28">
        <f t="shared" si="61"/>
        <v>0.14678729269116375</v>
      </c>
      <c r="K212" s="28">
        <f t="shared" si="61"/>
        <v>6.2442127322690943E-2</v>
      </c>
      <c r="L212" s="28">
        <f t="shared" si="61"/>
        <v>3.8499326021429865E-2</v>
      </c>
      <c r="M212" s="28">
        <f t="shared" si="61"/>
        <v>3.8023090596784999E-2</v>
      </c>
      <c r="N212" s="28">
        <f t="shared" si="61"/>
        <v>6.3150367326413909E-2</v>
      </c>
      <c r="O212" s="28">
        <f t="shared" si="61"/>
        <v>6.9780440791696693E-2</v>
      </c>
      <c r="P212" s="28">
        <f t="shared" si="61"/>
        <v>5.4379070411803274E-2</v>
      </c>
      <c r="Q212" s="28">
        <f t="shared" si="61"/>
        <v>5.2766459029625755E-2</v>
      </c>
      <c r="R212" s="28">
        <f t="shared" si="61"/>
        <v>5.5619885631264923E-2</v>
      </c>
    </row>
    <row r="213" spans="1:18" x14ac:dyDescent="0.2">
      <c r="B213" s="118" t="s">
        <v>358</v>
      </c>
      <c r="D213" s="28">
        <f t="shared" si="59"/>
        <v>0.21765816808309735</v>
      </c>
      <c r="E213" s="28">
        <f t="shared" si="59"/>
        <v>9.7324544397053181E-2</v>
      </c>
      <c r="F213" s="28">
        <f t="shared" si="59"/>
        <v>4.7703180212014029E-2</v>
      </c>
      <c r="G213" s="28">
        <f t="shared" si="59"/>
        <v>-5.9021922428330487E-2</v>
      </c>
      <c r="H213" s="28">
        <f t="shared" si="59"/>
        <v>-0.10215053763440862</v>
      </c>
      <c r="I213" s="28"/>
      <c r="J213" s="28">
        <f t="shared" si="61"/>
        <v>-4.0361838634179747E-3</v>
      </c>
      <c r="K213" s="28">
        <f t="shared" si="61"/>
        <v>-2.9376365928535764E-2</v>
      </c>
      <c r="L213" s="28">
        <f t="shared" si="61"/>
        <v>-4.8646252463673212E-2</v>
      </c>
      <c r="M213" s="28">
        <f t="shared" si="61"/>
        <v>-4.6052334972508893E-2</v>
      </c>
      <c r="N213" s="28">
        <f t="shared" si="61"/>
        <v>-3.2027784307033957E-2</v>
      </c>
      <c r="O213" s="28">
        <f t="shared" si="61"/>
        <v>-3.2027784307033957E-2</v>
      </c>
      <c r="P213" s="28">
        <f t="shared" si="61"/>
        <v>-3.7626104395757157E-2</v>
      </c>
      <c r="Q213" s="28">
        <f t="shared" si="61"/>
        <v>-3.927605208920143E-2</v>
      </c>
      <c r="R213" s="28">
        <f t="shared" si="61"/>
        <v>-3.7402012014307082E-2</v>
      </c>
    </row>
    <row r="214" spans="1:18" x14ac:dyDescent="0.2">
      <c r="B214" s="118" t="s">
        <v>357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28"/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</row>
    <row r="215" spans="1:18" s="17" customFormat="1" ht="15.75" thickBot="1" x14ac:dyDescent="0.3">
      <c r="A215" s="5"/>
      <c r="B215" s="232" t="s">
        <v>359</v>
      </c>
      <c r="C215" s="232"/>
      <c r="D215" s="234">
        <f>D205/C205-1</f>
        <v>9.9115242468361453E-2</v>
      </c>
      <c r="E215" s="234">
        <f>E205/D205-1</f>
        <v>5.7265131444874662E-2</v>
      </c>
      <c r="F215" s="234">
        <f>F205/E205-1</f>
        <v>0.11777178103315333</v>
      </c>
      <c r="G215" s="234">
        <f>G205/F205-1</f>
        <v>7.2598723917916885E-2</v>
      </c>
      <c r="H215" s="234">
        <f>H205/G205-1</f>
        <v>0.1032556270096463</v>
      </c>
      <c r="I215" s="234">
        <v>0.10199999999999999</v>
      </c>
      <c r="J215" s="234"/>
      <c r="K215" s="234"/>
      <c r="L215" s="234"/>
      <c r="M215" s="234"/>
      <c r="N215" s="234"/>
      <c r="O215" s="234"/>
      <c r="P215" s="234"/>
      <c r="Q215" s="234"/>
      <c r="R215" s="234"/>
    </row>
    <row r="217" spans="1:18" ht="15" x14ac:dyDescent="0.25">
      <c r="B217" s="229" t="s">
        <v>361</v>
      </c>
      <c r="C217" s="230"/>
      <c r="D217" s="143"/>
      <c r="E217" s="143"/>
      <c r="F217" s="143"/>
      <c r="G217" s="143"/>
      <c r="H217" s="143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</row>
    <row r="218" spans="1:18" ht="3.95" customHeight="1" x14ac:dyDescent="0.2"/>
    <row r="219" spans="1:18" x14ac:dyDescent="0.2">
      <c r="B219" s="118" t="s">
        <v>182</v>
      </c>
      <c r="C219" s="1">
        <v>59</v>
      </c>
      <c r="D219" s="6">
        <v>78</v>
      </c>
      <c r="E219" s="6">
        <v>92</v>
      </c>
      <c r="F219" s="6">
        <v>97</v>
      </c>
      <c r="G219" s="6">
        <v>83</v>
      </c>
      <c r="H219" s="6">
        <v>103</v>
      </c>
      <c r="I219" s="6">
        <f t="shared" ref="I219:R219" si="62">I$226*I241</f>
        <v>145.20000000000002</v>
      </c>
      <c r="J219" s="6">
        <f t="shared" si="62"/>
        <v>172.06550724637682</v>
      </c>
      <c r="K219" s="6">
        <f t="shared" si="62"/>
        <v>202.07306672267731</v>
      </c>
      <c r="L219" s="6">
        <f t="shared" si="62"/>
        <v>235.16619214247808</v>
      </c>
      <c r="M219" s="6">
        <f t="shared" si="62"/>
        <v>271.17956552854838</v>
      </c>
      <c r="N219" s="6">
        <f t="shared" si="62"/>
        <v>309.82592873189225</v>
      </c>
      <c r="O219" s="6">
        <f t="shared" si="62"/>
        <v>350.68702947769253</v>
      </c>
      <c r="P219" s="6">
        <f t="shared" si="62"/>
        <v>393.2099494771615</v>
      </c>
      <c r="Q219" s="6">
        <f t="shared" si="62"/>
        <v>436.70998736618088</v>
      </c>
      <c r="R219" s="6">
        <f t="shared" si="62"/>
        <v>480.380986102799</v>
      </c>
    </row>
    <row r="220" spans="1:18" x14ac:dyDescent="0.2">
      <c r="B220" s="118" t="s">
        <v>355</v>
      </c>
      <c r="C220" s="1">
        <v>95</v>
      </c>
      <c r="D220" s="6">
        <v>180</v>
      </c>
      <c r="E220" s="6">
        <v>181</v>
      </c>
      <c r="F220" s="6">
        <v>309</v>
      </c>
      <c r="G220" s="6">
        <v>362</v>
      </c>
      <c r="H220" s="6">
        <v>413</v>
      </c>
      <c r="I220" s="6">
        <f t="shared" ref="I220:R220" si="63">I$226*I242</f>
        <v>429</v>
      </c>
      <c r="J220" s="6">
        <f t="shared" si="63"/>
        <v>508.37536231884059</v>
      </c>
      <c r="K220" s="6">
        <f t="shared" si="63"/>
        <v>597.03406077154659</v>
      </c>
      <c r="L220" s="6">
        <f t="shared" si="63"/>
        <v>694.80920405732161</v>
      </c>
      <c r="M220" s="6">
        <f t="shared" si="63"/>
        <v>801.21235269798376</v>
      </c>
      <c r="N220" s="6">
        <f t="shared" si="63"/>
        <v>915.39478943513609</v>
      </c>
      <c r="O220" s="6">
        <f t="shared" si="63"/>
        <v>1036.1207689113644</v>
      </c>
      <c r="P220" s="6">
        <f t="shared" si="63"/>
        <v>1161.7566689097953</v>
      </c>
      <c r="Q220" s="6">
        <f t="shared" si="63"/>
        <v>1290.2795081273525</v>
      </c>
      <c r="R220" s="6">
        <f t="shared" si="63"/>
        <v>1419.3074589400878</v>
      </c>
    </row>
    <row r="221" spans="1:18" x14ac:dyDescent="0.2">
      <c r="B221" s="118" t="s">
        <v>356</v>
      </c>
      <c r="C221" s="1">
        <v>71</v>
      </c>
      <c r="D221" s="6">
        <v>120</v>
      </c>
      <c r="E221" s="6">
        <v>151</v>
      </c>
      <c r="F221" s="6">
        <v>142</v>
      </c>
      <c r="G221" s="6">
        <v>163</v>
      </c>
      <c r="H221" s="6">
        <v>249</v>
      </c>
      <c r="I221" s="6">
        <f t="shared" ref="I221:R221" si="64">I$226*I243</f>
        <v>246.61955967818943</v>
      </c>
      <c r="J221" s="6">
        <f t="shared" si="64"/>
        <v>292.25013521284961</v>
      </c>
      <c r="K221" s="6">
        <f t="shared" si="64"/>
        <v>343.21742932484892</v>
      </c>
      <c r="L221" s="6">
        <f t="shared" si="64"/>
        <v>399.42550108384592</v>
      </c>
      <c r="M221" s="6">
        <f t="shared" si="64"/>
        <v>460.59356091166194</v>
      </c>
      <c r="N221" s="6">
        <f t="shared" si="64"/>
        <v>526.2337060657394</v>
      </c>
      <c r="O221" s="6">
        <f t="shared" si="64"/>
        <v>595.63554266281517</v>
      </c>
      <c r="P221" s="6">
        <f t="shared" si="64"/>
        <v>667.85994904366862</v>
      </c>
      <c r="Q221" s="6">
        <f t="shared" si="64"/>
        <v>741.74397239197788</v>
      </c>
      <c r="R221" s="6">
        <f t="shared" si="64"/>
        <v>815.91836963117566</v>
      </c>
    </row>
    <row r="222" spans="1:18" x14ac:dyDescent="0.2">
      <c r="B222" s="118" t="s">
        <v>363</v>
      </c>
      <c r="C222" s="1">
        <v>24</v>
      </c>
      <c r="D222" s="6">
        <v>27</v>
      </c>
      <c r="E222" s="6">
        <v>52</v>
      </c>
      <c r="F222" s="6">
        <v>76</v>
      </c>
      <c r="G222" s="6">
        <v>64</v>
      </c>
      <c r="H222" s="6">
        <v>27</v>
      </c>
      <c r="I222" s="6">
        <f t="shared" ref="I222:R222" si="65">I$226*I244</f>
        <v>75.427598708225048</v>
      </c>
      <c r="J222" s="6">
        <f t="shared" si="65"/>
        <v>89.383526391920796</v>
      </c>
      <c r="K222" s="6">
        <f t="shared" si="65"/>
        <v>104.97166795109152</v>
      </c>
      <c r="L222" s="6">
        <f t="shared" si="65"/>
        <v>122.16268023873404</v>
      </c>
      <c r="M222" s="6">
        <f t="shared" si="65"/>
        <v>140.87068489365129</v>
      </c>
      <c r="N222" s="6">
        <f t="shared" si="65"/>
        <v>160.94645882777067</v>
      </c>
      <c r="O222" s="6">
        <f t="shared" si="65"/>
        <v>182.17273093404188</v>
      </c>
      <c r="P222" s="6">
        <f t="shared" si="65"/>
        <v>204.26227463667206</v>
      </c>
      <c r="Q222" s="6">
        <f t="shared" si="65"/>
        <v>226.85940550227494</v>
      </c>
      <c r="R222" s="6">
        <f t="shared" si="65"/>
        <v>249.54534605250245</v>
      </c>
    </row>
    <row r="223" spans="1:18" x14ac:dyDescent="0.2">
      <c r="B223" s="118" t="s">
        <v>358</v>
      </c>
      <c r="C223" s="1">
        <v>77</v>
      </c>
      <c r="D223" s="6">
        <v>112</v>
      </c>
      <c r="E223" s="6">
        <v>95</v>
      </c>
      <c r="F223" s="6">
        <v>96</v>
      </c>
      <c r="G223" s="6">
        <v>94</v>
      </c>
      <c r="H223" s="6">
        <v>76</v>
      </c>
      <c r="I223" s="6">
        <f t="shared" ref="I223:R223" si="66">I$226*I245</f>
        <v>149.44814010865306</v>
      </c>
      <c r="J223" s="6">
        <f t="shared" si="66"/>
        <v>177.09965588721059</v>
      </c>
      <c r="K223" s="6">
        <f t="shared" si="66"/>
        <v>207.98515143082557</v>
      </c>
      <c r="L223" s="6">
        <f t="shared" si="66"/>
        <v>242.04648782456945</v>
      </c>
      <c r="M223" s="6">
        <f t="shared" si="66"/>
        <v>279.11351035615809</v>
      </c>
      <c r="N223" s="6">
        <f t="shared" si="66"/>
        <v>318.89055651802607</v>
      </c>
      <c r="O223" s="6">
        <f t="shared" si="66"/>
        <v>360.94713716025854</v>
      </c>
      <c r="P223" s="6">
        <f t="shared" si="66"/>
        <v>404.71415717341057</v>
      </c>
      <c r="Q223" s="6">
        <f t="shared" si="66"/>
        <v>449.48688277375413</v>
      </c>
      <c r="R223" s="6">
        <f t="shared" si="66"/>
        <v>494.43557105112956</v>
      </c>
    </row>
    <row r="224" spans="1:18" x14ac:dyDescent="0.2">
      <c r="B224" s="118" t="s">
        <v>365</v>
      </c>
      <c r="C224" s="1">
        <v>22</v>
      </c>
      <c r="D224" s="6">
        <v>24</v>
      </c>
      <c r="E224" s="6">
        <v>28</v>
      </c>
      <c r="F224" s="6">
        <v>36</v>
      </c>
      <c r="G224" s="6">
        <v>42</v>
      </c>
      <c r="H224" s="6">
        <v>52</v>
      </c>
      <c r="I224" s="6">
        <f t="shared" ref="I224:R224" si="67">I$226*I246</f>
        <v>53.813031688801253</v>
      </c>
      <c r="J224" s="6">
        <f t="shared" si="67"/>
        <v>63.769742382912789</v>
      </c>
      <c r="K224" s="6">
        <f t="shared" si="67"/>
        <v>74.890939001382108</v>
      </c>
      <c r="L224" s="6">
        <f t="shared" si="67"/>
        <v>87.155686982767875</v>
      </c>
      <c r="M224" s="6">
        <f t="shared" si="67"/>
        <v>100.50271730814826</v>
      </c>
      <c r="N224" s="6">
        <f t="shared" si="67"/>
        <v>114.82556832549307</v>
      </c>
      <c r="O224" s="6">
        <f t="shared" si="67"/>
        <v>129.96923023508711</v>
      </c>
      <c r="P224" s="6">
        <f t="shared" si="67"/>
        <v>145.72878423943823</v>
      </c>
      <c r="Q224" s="6">
        <f t="shared" si="67"/>
        <v>161.85047099829396</v>
      </c>
      <c r="R224" s="6">
        <f t="shared" si="67"/>
        <v>178.03551809812336</v>
      </c>
    </row>
    <row r="225" spans="1:19" x14ac:dyDescent="0.2">
      <c r="B225" s="118" t="s">
        <v>357</v>
      </c>
      <c r="C225" s="1">
        <v>41</v>
      </c>
      <c r="D225" s="6">
        <v>34</v>
      </c>
      <c r="E225" s="6">
        <v>0</v>
      </c>
      <c r="F225" s="6">
        <v>0</v>
      </c>
      <c r="G225" s="6">
        <v>0</v>
      </c>
      <c r="H225" s="6">
        <v>0</v>
      </c>
      <c r="I225" s="6">
        <f t="shared" ref="I225:R225" si="68">I$226*I247</f>
        <v>0</v>
      </c>
      <c r="J225" s="6">
        <f t="shared" si="68"/>
        <v>0</v>
      </c>
      <c r="K225" s="6">
        <f t="shared" si="68"/>
        <v>0</v>
      </c>
      <c r="L225" s="6">
        <f t="shared" si="68"/>
        <v>0</v>
      </c>
      <c r="M225" s="6">
        <f t="shared" si="68"/>
        <v>0</v>
      </c>
      <c r="N225" s="6">
        <f t="shared" si="68"/>
        <v>0</v>
      </c>
      <c r="O225" s="6">
        <f t="shared" si="68"/>
        <v>0</v>
      </c>
      <c r="P225" s="6">
        <f t="shared" si="68"/>
        <v>0</v>
      </c>
      <c r="Q225" s="6">
        <f t="shared" si="68"/>
        <v>0</v>
      </c>
      <c r="R225" s="6">
        <f t="shared" si="68"/>
        <v>0</v>
      </c>
    </row>
    <row r="226" spans="1:19" ht="15.75" thickBot="1" x14ac:dyDescent="0.3">
      <c r="B226" s="232" t="s">
        <v>362</v>
      </c>
      <c r="C226" s="232">
        <f t="shared" ref="C226:H226" si="69">SUM(C219:C225)</f>
        <v>389</v>
      </c>
      <c r="D226" s="232">
        <f t="shared" si="69"/>
        <v>575</v>
      </c>
      <c r="E226" s="232">
        <f t="shared" si="69"/>
        <v>599</v>
      </c>
      <c r="F226" s="232">
        <f t="shared" si="69"/>
        <v>756</v>
      </c>
      <c r="G226" s="232">
        <f t="shared" si="69"/>
        <v>808</v>
      </c>
      <c r="H226" s="232">
        <f t="shared" si="69"/>
        <v>920</v>
      </c>
      <c r="I226" s="235">
        <v>1100</v>
      </c>
      <c r="J226" s="235">
        <f>I226*(1+J237)</f>
        <v>1303.5265700483092</v>
      </c>
      <c r="K226" s="235">
        <f t="shared" ref="K226:Q226" si="70">J226*(1+K237)</f>
        <v>1530.8565660808886</v>
      </c>
      <c r="L226" s="235">
        <f t="shared" si="70"/>
        <v>1781.5620616854399</v>
      </c>
      <c r="M226" s="235">
        <f t="shared" si="70"/>
        <v>2054.3906479435482</v>
      </c>
      <c r="N226" s="235">
        <f t="shared" si="70"/>
        <v>2347.1661267567592</v>
      </c>
      <c r="O226" s="235">
        <f t="shared" si="70"/>
        <v>2656.7199202855495</v>
      </c>
      <c r="P226" s="235">
        <f t="shared" si="70"/>
        <v>2978.8632536148598</v>
      </c>
      <c r="Q226" s="235">
        <f t="shared" si="70"/>
        <v>3308.4089951983397</v>
      </c>
      <c r="R226" s="235">
        <f>Q226*(1+R237)</f>
        <v>3639.2498947181739</v>
      </c>
    </row>
    <row r="228" spans="1:19" ht="15" x14ac:dyDescent="0.25">
      <c r="B228" s="229" t="s">
        <v>364</v>
      </c>
      <c r="C228" s="230"/>
      <c r="D228" s="143"/>
      <c r="E228" s="143"/>
      <c r="F228" s="143"/>
      <c r="G228" s="143"/>
      <c r="H228" s="143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</row>
    <row r="229" spans="1:19" ht="3.95" customHeight="1" x14ac:dyDescent="0.2"/>
    <row r="230" spans="1:19" x14ac:dyDescent="0.2">
      <c r="B230" s="118" t="s">
        <v>182</v>
      </c>
      <c r="D230" s="28">
        <f t="shared" ref="D230:D235" si="71">D219/C219-1</f>
        <v>0.32203389830508478</v>
      </c>
      <c r="E230" s="28">
        <f>E219/D219-1</f>
        <v>0.17948717948717952</v>
      </c>
      <c r="F230" s="28">
        <f>F219/E219-1</f>
        <v>5.4347826086956541E-2</v>
      </c>
      <c r="G230" s="28">
        <f>G219/F219-1</f>
        <v>-0.14432989690721654</v>
      </c>
      <c r="H230" s="28">
        <f>H219/G219-1</f>
        <v>0.24096385542168686</v>
      </c>
      <c r="I230" s="28">
        <f>AVERAGE(D230:H230)</f>
        <v>0.13050057247873822</v>
      </c>
      <c r="J230" s="28"/>
      <c r="K230" s="28"/>
      <c r="L230" s="28"/>
      <c r="M230" s="28"/>
      <c r="N230" s="28"/>
      <c r="O230" s="28"/>
      <c r="P230" s="28"/>
      <c r="Q230" s="28"/>
      <c r="R230" s="28"/>
    </row>
    <row r="231" spans="1:19" x14ac:dyDescent="0.2">
      <c r="B231" s="118" t="s">
        <v>355</v>
      </c>
      <c r="D231" s="28">
        <f t="shared" si="71"/>
        <v>0.89473684210526305</v>
      </c>
      <c r="E231" s="28">
        <f t="shared" ref="E231:H235" si="72">E220/D220-1</f>
        <v>5.5555555555555358E-3</v>
      </c>
      <c r="F231" s="28">
        <f t="shared" si="72"/>
        <v>0.70718232044198892</v>
      </c>
      <c r="G231" s="28">
        <f t="shared" si="72"/>
        <v>0.17152103559870557</v>
      </c>
      <c r="H231" s="28">
        <f t="shared" si="72"/>
        <v>0.1408839779005524</v>
      </c>
      <c r="I231" s="28">
        <f>AVERAGE(D231:H231)</f>
        <v>0.3839759463204131</v>
      </c>
      <c r="J231" s="28"/>
      <c r="K231" s="28"/>
      <c r="L231" s="28"/>
      <c r="M231" s="28"/>
      <c r="N231" s="28"/>
      <c r="O231" s="28"/>
      <c r="P231" s="28"/>
      <c r="Q231" s="28"/>
      <c r="R231" s="28"/>
    </row>
    <row r="232" spans="1:19" x14ac:dyDescent="0.2">
      <c r="B232" s="118" t="s">
        <v>356</v>
      </c>
      <c r="D232" s="28">
        <f t="shared" si="71"/>
        <v>0.6901408450704225</v>
      </c>
      <c r="E232" s="28">
        <f t="shared" si="72"/>
        <v>0.2583333333333333</v>
      </c>
      <c r="F232" s="28">
        <f t="shared" si="72"/>
        <v>-5.9602649006622488E-2</v>
      </c>
      <c r="G232" s="28">
        <f t="shared" si="72"/>
        <v>0.147887323943662</v>
      </c>
      <c r="H232" s="28">
        <f t="shared" si="72"/>
        <v>0.52760736196319025</v>
      </c>
      <c r="I232" s="28">
        <f>AVERAGE(D232:H232)</f>
        <v>0.31287324306079711</v>
      </c>
      <c r="J232" s="28"/>
      <c r="K232" s="28"/>
      <c r="L232" s="28"/>
      <c r="M232" s="28"/>
      <c r="N232" s="28"/>
      <c r="O232" s="28"/>
      <c r="P232" s="28"/>
      <c r="Q232" s="28"/>
      <c r="R232" s="28"/>
    </row>
    <row r="233" spans="1:19" x14ac:dyDescent="0.2">
      <c r="B233" s="118" t="s">
        <v>363</v>
      </c>
      <c r="D233" s="28">
        <f t="shared" si="71"/>
        <v>0.125</v>
      </c>
      <c r="E233" s="28">
        <f t="shared" si="72"/>
        <v>0.92592592592592582</v>
      </c>
      <c r="F233" s="28">
        <f t="shared" si="72"/>
        <v>0.46153846153846145</v>
      </c>
      <c r="G233" s="28">
        <f t="shared" si="72"/>
        <v>-0.15789473684210531</v>
      </c>
      <c r="H233" s="28">
        <f t="shared" si="72"/>
        <v>-0.578125</v>
      </c>
      <c r="I233" s="28">
        <f>AVERAGE(D233:H233)</f>
        <v>0.15528893012445638</v>
      </c>
      <c r="J233" s="28"/>
      <c r="K233" s="28"/>
      <c r="L233" s="28"/>
      <c r="M233" s="28"/>
      <c r="N233" s="28"/>
      <c r="O233" s="28"/>
      <c r="P233" s="28"/>
      <c r="Q233" s="28"/>
      <c r="R233" s="28"/>
    </row>
    <row r="234" spans="1:19" x14ac:dyDescent="0.2">
      <c r="B234" s="118" t="s">
        <v>358</v>
      </c>
      <c r="D234" s="28">
        <f t="shared" si="71"/>
        <v>0.45454545454545459</v>
      </c>
      <c r="E234" s="28">
        <f t="shared" si="72"/>
        <v>-0.1517857142857143</v>
      </c>
      <c r="F234" s="28">
        <f t="shared" si="72"/>
        <v>1.0526315789473717E-2</v>
      </c>
      <c r="G234" s="28">
        <f t="shared" si="72"/>
        <v>-2.083333333333337E-2</v>
      </c>
      <c r="H234" s="28">
        <f t="shared" si="72"/>
        <v>-0.19148936170212771</v>
      </c>
      <c r="I234" s="28">
        <f>AVERAGE(D234:H234)</f>
        <v>2.0192672202750582E-2</v>
      </c>
      <c r="J234" s="28"/>
      <c r="K234" s="28"/>
      <c r="L234" s="28"/>
      <c r="M234" s="28"/>
      <c r="N234" s="28"/>
      <c r="O234" s="28"/>
      <c r="P234" s="28"/>
      <c r="Q234" s="28"/>
      <c r="R234" s="28"/>
    </row>
    <row r="235" spans="1:19" x14ac:dyDescent="0.2">
      <c r="B235" s="118" t="s">
        <v>365</v>
      </c>
      <c r="D235" s="28">
        <f t="shared" si="71"/>
        <v>9.0909090909090828E-2</v>
      </c>
      <c r="E235" s="28">
        <f t="shared" si="72"/>
        <v>0.16666666666666674</v>
      </c>
      <c r="F235" s="28">
        <f t="shared" si="72"/>
        <v>0.28571428571428581</v>
      </c>
      <c r="G235" s="28">
        <f t="shared" si="72"/>
        <v>0.16666666666666674</v>
      </c>
      <c r="H235" s="28">
        <f t="shared" si="72"/>
        <v>0.23809523809523814</v>
      </c>
      <c r="I235" s="28"/>
      <c r="J235" s="28"/>
      <c r="K235" s="28"/>
      <c r="L235" s="28"/>
      <c r="M235" s="28"/>
      <c r="N235" s="28"/>
      <c r="O235" s="28"/>
      <c r="P235" s="28"/>
      <c r="Q235" s="28"/>
      <c r="R235" s="28"/>
    </row>
    <row r="236" spans="1:19" x14ac:dyDescent="0.2">
      <c r="B236" s="118" t="s">
        <v>357</v>
      </c>
      <c r="D236" s="28">
        <v>0</v>
      </c>
      <c r="E236" s="28">
        <v>0</v>
      </c>
      <c r="F236" s="28">
        <v>0</v>
      </c>
      <c r="G236" s="28">
        <v>0</v>
      </c>
      <c r="H236" s="28">
        <v>0</v>
      </c>
      <c r="I236" s="28">
        <v>0</v>
      </c>
      <c r="J236" s="28">
        <v>0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</row>
    <row r="237" spans="1:19" s="17" customFormat="1" ht="15.75" thickBot="1" x14ac:dyDescent="0.3">
      <c r="A237" s="5"/>
      <c r="B237" s="232" t="s">
        <v>362</v>
      </c>
      <c r="C237" s="232"/>
      <c r="D237" s="234">
        <f t="shared" ref="D237:I237" si="73">D226/C226-1</f>
        <v>0.47814910025706947</v>
      </c>
      <c r="E237" s="234">
        <f t="shared" si="73"/>
        <v>4.1739130434782501E-2</v>
      </c>
      <c r="F237" s="234">
        <f t="shared" si="73"/>
        <v>0.26210350584307185</v>
      </c>
      <c r="G237" s="234">
        <f t="shared" si="73"/>
        <v>6.8783068783068835E-2</v>
      </c>
      <c r="H237" s="234">
        <f t="shared" si="73"/>
        <v>0.13861386138613851</v>
      </c>
      <c r="I237" s="234">
        <f t="shared" si="73"/>
        <v>0.19565217391304346</v>
      </c>
      <c r="J237" s="234">
        <f t="shared" ref="J237:Q237" si="74">I237-($I$237-$R$237)/9</f>
        <v>0.18502415458937196</v>
      </c>
      <c r="K237" s="234">
        <f t="shared" si="74"/>
        <v>0.17439613526570047</v>
      </c>
      <c r="L237" s="234">
        <f t="shared" si="74"/>
        <v>0.16376811594202897</v>
      </c>
      <c r="M237" s="234">
        <f t="shared" si="74"/>
        <v>0.15314009661835748</v>
      </c>
      <c r="N237" s="234">
        <f t="shared" si="74"/>
        <v>0.14251207729468598</v>
      </c>
      <c r="O237" s="234">
        <f t="shared" si="74"/>
        <v>0.13188405797101449</v>
      </c>
      <c r="P237" s="234">
        <f t="shared" si="74"/>
        <v>0.121256038647343</v>
      </c>
      <c r="Q237" s="234">
        <f t="shared" si="74"/>
        <v>0.1106280193236715</v>
      </c>
      <c r="R237" s="234">
        <v>0.1</v>
      </c>
      <c r="S237"/>
    </row>
    <row r="239" spans="1:19" ht="15" x14ac:dyDescent="0.25">
      <c r="B239" s="229" t="s">
        <v>366</v>
      </c>
      <c r="C239" s="230"/>
      <c r="D239" s="143"/>
      <c r="E239" s="143"/>
      <c r="F239" s="143"/>
      <c r="G239" s="143"/>
      <c r="H239" s="143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</row>
    <row r="240" spans="1:19" ht="3.95" customHeight="1" x14ac:dyDescent="0.2"/>
    <row r="241" spans="2:18" x14ac:dyDescent="0.2">
      <c r="B241" s="118" t="s">
        <v>182</v>
      </c>
      <c r="D241" s="28">
        <f t="shared" ref="D241:H247" si="75">D219/D$226</f>
        <v>0.13565217391304349</v>
      </c>
      <c r="E241" s="28">
        <f t="shared" si="75"/>
        <v>0.15358931552587646</v>
      </c>
      <c r="F241" s="28">
        <f t="shared" si="75"/>
        <v>0.12830687830687831</v>
      </c>
      <c r="G241" s="28">
        <f t="shared" si="75"/>
        <v>0.10272277227722772</v>
      </c>
      <c r="H241" s="28">
        <f t="shared" si="75"/>
        <v>0.11195652173913044</v>
      </c>
      <c r="I241" s="28">
        <v>0.13200000000000001</v>
      </c>
      <c r="J241" s="28">
        <v>0.13200000000000001</v>
      </c>
      <c r="K241" s="28">
        <v>0.13200000000000001</v>
      </c>
      <c r="L241" s="28">
        <v>0.13200000000000001</v>
      </c>
      <c r="M241" s="28">
        <v>0.13200000000000001</v>
      </c>
      <c r="N241" s="28">
        <v>0.13200000000000001</v>
      </c>
      <c r="O241" s="28">
        <v>0.13200000000000001</v>
      </c>
      <c r="P241" s="28">
        <v>0.13200000000000001</v>
      </c>
      <c r="Q241" s="28">
        <v>0.13200000000000001</v>
      </c>
      <c r="R241" s="28">
        <v>0.13200000000000001</v>
      </c>
    </row>
    <row r="242" spans="2:18" x14ac:dyDescent="0.2">
      <c r="B242" s="118" t="s">
        <v>355</v>
      </c>
      <c r="D242" s="28">
        <f t="shared" si="75"/>
        <v>0.31304347826086959</v>
      </c>
      <c r="E242" s="28">
        <f t="shared" si="75"/>
        <v>0.30217028380634392</v>
      </c>
      <c r="F242" s="28">
        <f t="shared" si="75"/>
        <v>0.40873015873015872</v>
      </c>
      <c r="G242" s="28">
        <f t="shared" si="75"/>
        <v>0.44801980198019803</v>
      </c>
      <c r="H242" s="28">
        <f t="shared" si="75"/>
        <v>0.44891304347826089</v>
      </c>
      <c r="I242" s="28">
        <v>0.39</v>
      </c>
      <c r="J242" s="28">
        <v>0.39</v>
      </c>
      <c r="K242" s="28">
        <v>0.39</v>
      </c>
      <c r="L242" s="28">
        <v>0.39</v>
      </c>
      <c r="M242" s="28">
        <v>0.39</v>
      </c>
      <c r="N242" s="28">
        <v>0.39</v>
      </c>
      <c r="O242" s="28">
        <v>0.39</v>
      </c>
      <c r="P242" s="28">
        <v>0.39</v>
      </c>
      <c r="Q242" s="28">
        <v>0.39</v>
      </c>
      <c r="R242" s="28">
        <v>0.39</v>
      </c>
    </row>
    <row r="243" spans="2:18" x14ac:dyDescent="0.2">
      <c r="B243" s="118" t="s">
        <v>356</v>
      </c>
      <c r="D243" s="28">
        <f t="shared" si="75"/>
        <v>0.20869565217391303</v>
      </c>
      <c r="E243" s="28">
        <f t="shared" si="75"/>
        <v>0.25208681135225375</v>
      </c>
      <c r="F243" s="28">
        <f t="shared" si="75"/>
        <v>0.18783068783068782</v>
      </c>
      <c r="G243" s="28">
        <f t="shared" si="75"/>
        <v>0.20173267326732675</v>
      </c>
      <c r="H243" s="28">
        <f t="shared" si="75"/>
        <v>0.27065217391304347</v>
      </c>
      <c r="I243" s="28">
        <f t="shared" ref="I243:R245" si="76">AVERAGE($D243:$H243)</f>
        <v>0.22419959970744494</v>
      </c>
      <c r="J243" s="28">
        <f t="shared" si="76"/>
        <v>0.22419959970744494</v>
      </c>
      <c r="K243" s="28">
        <f t="shared" si="76"/>
        <v>0.22419959970744494</v>
      </c>
      <c r="L243" s="28">
        <f t="shared" si="76"/>
        <v>0.22419959970744494</v>
      </c>
      <c r="M243" s="28">
        <f t="shared" si="76"/>
        <v>0.22419959970744494</v>
      </c>
      <c r="N243" s="28">
        <f t="shared" si="76"/>
        <v>0.22419959970744494</v>
      </c>
      <c r="O243" s="28">
        <f t="shared" si="76"/>
        <v>0.22419959970744494</v>
      </c>
      <c r="P243" s="28">
        <f t="shared" si="76"/>
        <v>0.22419959970744494</v>
      </c>
      <c r="Q243" s="28">
        <f t="shared" si="76"/>
        <v>0.22419959970744494</v>
      </c>
      <c r="R243" s="28">
        <f t="shared" si="76"/>
        <v>0.22419959970744494</v>
      </c>
    </row>
    <row r="244" spans="2:18" x14ac:dyDescent="0.2">
      <c r="B244" s="118" t="s">
        <v>363</v>
      </c>
      <c r="D244" s="28">
        <f t="shared" si="75"/>
        <v>4.6956521739130432E-2</v>
      </c>
      <c r="E244" s="28">
        <f t="shared" si="75"/>
        <v>8.681135225375626E-2</v>
      </c>
      <c r="F244" s="28">
        <f t="shared" si="75"/>
        <v>0.10052910052910052</v>
      </c>
      <c r="G244" s="28">
        <f t="shared" si="75"/>
        <v>7.9207920792079209E-2</v>
      </c>
      <c r="H244" s="28">
        <f t="shared" si="75"/>
        <v>2.9347826086956522E-2</v>
      </c>
      <c r="I244" s="28">
        <f t="shared" si="76"/>
        <v>6.8570544280204593E-2</v>
      </c>
      <c r="J244" s="28">
        <f t="shared" si="76"/>
        <v>6.8570544280204593E-2</v>
      </c>
      <c r="K244" s="28">
        <f t="shared" si="76"/>
        <v>6.8570544280204593E-2</v>
      </c>
      <c r="L244" s="28">
        <f t="shared" si="76"/>
        <v>6.8570544280204593E-2</v>
      </c>
      <c r="M244" s="28">
        <f t="shared" si="76"/>
        <v>6.8570544280204593E-2</v>
      </c>
      <c r="N244" s="28">
        <f t="shared" si="76"/>
        <v>6.8570544280204593E-2</v>
      </c>
      <c r="O244" s="28">
        <f t="shared" si="76"/>
        <v>6.8570544280204593E-2</v>
      </c>
      <c r="P244" s="28">
        <f t="shared" si="76"/>
        <v>6.8570544280204593E-2</v>
      </c>
      <c r="Q244" s="28">
        <f t="shared" si="76"/>
        <v>6.8570544280204593E-2</v>
      </c>
      <c r="R244" s="28">
        <f t="shared" si="76"/>
        <v>6.8570544280204593E-2</v>
      </c>
    </row>
    <row r="245" spans="2:18" x14ac:dyDescent="0.2">
      <c r="B245" s="118" t="s">
        <v>358</v>
      </c>
      <c r="D245" s="28">
        <f t="shared" si="75"/>
        <v>0.19478260869565217</v>
      </c>
      <c r="E245" s="28">
        <f t="shared" si="75"/>
        <v>0.15859766277128548</v>
      </c>
      <c r="F245" s="28">
        <f t="shared" si="75"/>
        <v>0.12698412698412698</v>
      </c>
      <c r="G245" s="28">
        <f t="shared" si="75"/>
        <v>0.11633663366336634</v>
      </c>
      <c r="H245" s="28">
        <f t="shared" si="75"/>
        <v>8.2608695652173908E-2</v>
      </c>
      <c r="I245" s="28">
        <f t="shared" si="76"/>
        <v>0.13586194555332096</v>
      </c>
      <c r="J245" s="28">
        <f t="shared" si="76"/>
        <v>0.13586194555332096</v>
      </c>
      <c r="K245" s="28">
        <f t="shared" si="76"/>
        <v>0.13586194555332096</v>
      </c>
      <c r="L245" s="28">
        <f t="shared" si="76"/>
        <v>0.13586194555332096</v>
      </c>
      <c r="M245" s="28">
        <f t="shared" si="76"/>
        <v>0.13586194555332096</v>
      </c>
      <c r="N245" s="28">
        <f t="shared" si="76"/>
        <v>0.13586194555332096</v>
      </c>
      <c r="O245" s="28">
        <f t="shared" si="76"/>
        <v>0.13586194555332096</v>
      </c>
      <c r="P245" s="28">
        <f t="shared" si="76"/>
        <v>0.13586194555332096</v>
      </c>
      <c r="Q245" s="28">
        <f t="shared" si="76"/>
        <v>0.13586194555332096</v>
      </c>
      <c r="R245" s="28">
        <f t="shared" si="76"/>
        <v>0.13586194555332096</v>
      </c>
    </row>
    <row r="246" spans="2:18" x14ac:dyDescent="0.2">
      <c r="B246" s="118" t="s">
        <v>365</v>
      </c>
      <c r="D246" s="28">
        <f t="shared" si="75"/>
        <v>4.1739130434782612E-2</v>
      </c>
      <c r="E246" s="28">
        <f t="shared" si="75"/>
        <v>4.6744574290484141E-2</v>
      </c>
      <c r="F246" s="28">
        <f t="shared" si="75"/>
        <v>4.7619047619047616E-2</v>
      </c>
      <c r="G246" s="28">
        <f t="shared" si="75"/>
        <v>5.1980198019801978E-2</v>
      </c>
      <c r="H246" s="28">
        <f t="shared" si="75"/>
        <v>5.6521739130434782E-2</v>
      </c>
      <c r="I246" s="28">
        <f>AVERAGE($D246:$H246)</f>
        <v>4.8920937898910229E-2</v>
      </c>
      <c r="J246" s="28">
        <f t="shared" ref="J246:R246" si="77">AVERAGE($D$246:$H$246)</f>
        <v>4.8920937898910229E-2</v>
      </c>
      <c r="K246" s="28">
        <f t="shared" si="77"/>
        <v>4.8920937898910229E-2</v>
      </c>
      <c r="L246" s="28">
        <f t="shared" si="77"/>
        <v>4.8920937898910229E-2</v>
      </c>
      <c r="M246" s="28">
        <f t="shared" si="77"/>
        <v>4.8920937898910229E-2</v>
      </c>
      <c r="N246" s="28">
        <f t="shared" si="77"/>
        <v>4.8920937898910229E-2</v>
      </c>
      <c r="O246" s="28">
        <f t="shared" si="77"/>
        <v>4.8920937898910229E-2</v>
      </c>
      <c r="P246" s="28">
        <f t="shared" si="77"/>
        <v>4.8920937898910229E-2</v>
      </c>
      <c r="Q246" s="28">
        <f t="shared" si="77"/>
        <v>4.8920937898910229E-2</v>
      </c>
      <c r="R246" s="28">
        <f t="shared" si="77"/>
        <v>4.8920937898910229E-2</v>
      </c>
    </row>
    <row r="247" spans="2:18" x14ac:dyDescent="0.2">
      <c r="B247" s="118" t="s">
        <v>357</v>
      </c>
      <c r="D247" s="28">
        <f t="shared" si="75"/>
        <v>5.9130434782608696E-2</v>
      </c>
      <c r="E247" s="28">
        <f t="shared" si="75"/>
        <v>0</v>
      </c>
      <c r="F247" s="28">
        <f t="shared" si="75"/>
        <v>0</v>
      </c>
      <c r="G247" s="28">
        <f t="shared" si="75"/>
        <v>0</v>
      </c>
      <c r="H247" s="28">
        <f t="shared" si="75"/>
        <v>0</v>
      </c>
      <c r="I247" s="28">
        <v>0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</row>
    <row r="248" spans="2:18" ht="15.75" thickBot="1" x14ac:dyDescent="0.3">
      <c r="B248" s="232" t="s">
        <v>362</v>
      </c>
      <c r="C248" s="232"/>
      <c r="D248" s="234">
        <f t="shared" ref="D248:R248" si="78">SUM(D241:D247)</f>
        <v>1</v>
      </c>
      <c r="E248" s="234">
        <f t="shared" si="78"/>
        <v>1</v>
      </c>
      <c r="F248" s="234">
        <f t="shared" si="78"/>
        <v>1</v>
      </c>
      <c r="G248" s="234">
        <f t="shared" si="78"/>
        <v>1</v>
      </c>
      <c r="H248" s="234">
        <f t="shared" si="78"/>
        <v>1</v>
      </c>
      <c r="I248" s="234">
        <f t="shared" si="78"/>
        <v>0.99955302743988084</v>
      </c>
      <c r="J248" s="234">
        <f t="shared" si="78"/>
        <v>0.99955302743988084</v>
      </c>
      <c r="K248" s="234">
        <f t="shared" si="78"/>
        <v>0.99955302743988084</v>
      </c>
      <c r="L248" s="234">
        <f t="shared" si="78"/>
        <v>0.99955302743988084</v>
      </c>
      <c r="M248" s="234">
        <f t="shared" si="78"/>
        <v>0.99955302743988084</v>
      </c>
      <c r="N248" s="234">
        <f t="shared" si="78"/>
        <v>0.99955302743988084</v>
      </c>
      <c r="O248" s="234">
        <f t="shared" si="78"/>
        <v>0.99955302743988084</v>
      </c>
      <c r="P248" s="234">
        <f t="shared" si="78"/>
        <v>0.99955302743988084</v>
      </c>
      <c r="Q248" s="234">
        <f t="shared" si="78"/>
        <v>0.99955302743988084</v>
      </c>
      <c r="R248" s="234">
        <f t="shared" si="78"/>
        <v>0.99955302743988084</v>
      </c>
    </row>
    <row r="250" spans="2:18" ht="15" x14ac:dyDescent="0.25">
      <c r="B250" s="229" t="s">
        <v>367</v>
      </c>
      <c r="C250" s="230"/>
      <c r="D250" s="143"/>
      <c r="E250" s="143"/>
      <c r="F250" s="143"/>
      <c r="G250" s="143"/>
      <c r="H250" s="143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</row>
    <row r="251" spans="2:18" ht="3.95" customHeight="1" x14ac:dyDescent="0.2"/>
    <row r="252" spans="2:18" x14ac:dyDescent="0.2">
      <c r="B252" s="118" t="s">
        <v>182</v>
      </c>
      <c r="D252" s="147">
        <f t="shared" ref="D252:H256" si="79">D199/D219</f>
        <v>33.948717948717949</v>
      </c>
      <c r="E252" s="147">
        <f t="shared" si="79"/>
        <v>33.032608695652172</v>
      </c>
      <c r="F252" s="147">
        <f t="shared" si="79"/>
        <v>35.185567010309278</v>
      </c>
      <c r="G252" s="147">
        <f t="shared" si="79"/>
        <v>45.108433734939759</v>
      </c>
      <c r="H252" s="147">
        <f t="shared" si="79"/>
        <v>41.252427184466022</v>
      </c>
      <c r="I252" s="147">
        <f>AVERAGE($D252:$H252)</f>
        <v>37.705550914817039</v>
      </c>
      <c r="J252" s="147">
        <f t="shared" ref="J252:R256" si="80">AVERAGE($D252:$H252)</f>
        <v>37.705550914817039</v>
      </c>
      <c r="K252" s="147">
        <f t="shared" si="80"/>
        <v>37.705550914817039</v>
      </c>
      <c r="L252" s="147">
        <f t="shared" si="80"/>
        <v>37.705550914817039</v>
      </c>
      <c r="M252" s="147">
        <f t="shared" si="80"/>
        <v>37.705550914817039</v>
      </c>
      <c r="N252" s="147">
        <f t="shared" si="80"/>
        <v>37.705550914817039</v>
      </c>
      <c r="O252" s="147">
        <f t="shared" si="80"/>
        <v>37.705550914817039</v>
      </c>
      <c r="P252" s="147">
        <f t="shared" si="80"/>
        <v>37.705550914817039</v>
      </c>
      <c r="Q252" s="147">
        <f t="shared" si="80"/>
        <v>37.705550914817039</v>
      </c>
      <c r="R252" s="147">
        <f t="shared" si="80"/>
        <v>37.705550914817039</v>
      </c>
    </row>
    <row r="253" spans="2:18" x14ac:dyDescent="0.2">
      <c r="B253" s="118" t="s">
        <v>355</v>
      </c>
      <c r="D253" s="147">
        <f t="shared" si="79"/>
        <v>40.233333333333334</v>
      </c>
      <c r="E253" s="147">
        <f t="shared" si="79"/>
        <v>46.944751381215468</v>
      </c>
      <c r="F253" s="147">
        <f t="shared" si="79"/>
        <v>32.679611650485434</v>
      </c>
      <c r="G253" s="147">
        <f t="shared" si="79"/>
        <v>31.591160220994475</v>
      </c>
      <c r="H253" s="147">
        <f t="shared" si="79"/>
        <v>32.145278450363193</v>
      </c>
      <c r="I253" s="147">
        <f>AVERAGE($D253:$H253)</f>
        <v>36.718827007278378</v>
      </c>
      <c r="J253" s="147">
        <f t="shared" si="80"/>
        <v>36.718827007278378</v>
      </c>
      <c r="K253" s="147">
        <f t="shared" si="80"/>
        <v>36.718827007278378</v>
      </c>
      <c r="L253" s="147">
        <f t="shared" si="80"/>
        <v>36.718827007278378</v>
      </c>
      <c r="M253" s="147">
        <f t="shared" si="80"/>
        <v>36.718827007278378</v>
      </c>
      <c r="N253" s="147">
        <f t="shared" si="80"/>
        <v>36.718827007278378</v>
      </c>
      <c r="O253" s="147">
        <f t="shared" si="80"/>
        <v>36.718827007278378</v>
      </c>
      <c r="P253" s="147">
        <f t="shared" si="80"/>
        <v>36.718827007278378</v>
      </c>
      <c r="Q253" s="147">
        <f t="shared" si="80"/>
        <v>36.718827007278378</v>
      </c>
      <c r="R253" s="147">
        <f t="shared" si="80"/>
        <v>36.718827007278378</v>
      </c>
    </row>
    <row r="254" spans="2:18" x14ac:dyDescent="0.2">
      <c r="B254" s="118" t="s">
        <v>356</v>
      </c>
      <c r="D254" s="147">
        <f t="shared" si="79"/>
        <v>45.966666666666669</v>
      </c>
      <c r="E254" s="147">
        <f t="shared" si="79"/>
        <v>38.728476821192054</v>
      </c>
      <c r="F254" s="147">
        <f t="shared" si="79"/>
        <v>42.845070422535208</v>
      </c>
      <c r="G254" s="147">
        <f t="shared" si="79"/>
        <v>38.331288343558285</v>
      </c>
      <c r="H254" s="147">
        <f t="shared" si="79"/>
        <v>27.369477911646587</v>
      </c>
      <c r="I254" s="147">
        <f>AVERAGE($D254:$H254)</f>
        <v>38.64819603311976</v>
      </c>
      <c r="J254" s="147">
        <f t="shared" si="80"/>
        <v>38.64819603311976</v>
      </c>
      <c r="K254" s="147">
        <f t="shared" si="80"/>
        <v>38.64819603311976</v>
      </c>
      <c r="L254" s="147">
        <f t="shared" si="80"/>
        <v>38.64819603311976</v>
      </c>
      <c r="M254" s="147">
        <f t="shared" si="80"/>
        <v>38.64819603311976</v>
      </c>
      <c r="N254" s="147">
        <f t="shared" si="80"/>
        <v>38.64819603311976</v>
      </c>
      <c r="O254" s="147">
        <f t="shared" si="80"/>
        <v>38.64819603311976</v>
      </c>
      <c r="P254" s="147">
        <f t="shared" si="80"/>
        <v>38.64819603311976</v>
      </c>
      <c r="Q254" s="147">
        <f t="shared" si="80"/>
        <v>38.64819603311976</v>
      </c>
      <c r="R254" s="147">
        <f t="shared" si="80"/>
        <v>38.64819603311976</v>
      </c>
    </row>
    <row r="255" spans="2:18" x14ac:dyDescent="0.2">
      <c r="B255" s="118" t="s">
        <v>363</v>
      </c>
      <c r="D255" s="147">
        <f t="shared" si="79"/>
        <v>12.703703703703704</v>
      </c>
      <c r="E255" s="147">
        <f t="shared" si="79"/>
        <v>10.346153846153847</v>
      </c>
      <c r="F255" s="147">
        <f t="shared" si="79"/>
        <v>8.3684210526315788</v>
      </c>
      <c r="G255" s="147">
        <f t="shared" si="79"/>
        <v>10.34375</v>
      </c>
      <c r="H255" s="147">
        <f t="shared" si="79"/>
        <v>22.37037037037037</v>
      </c>
      <c r="I255" s="147">
        <f>AVERAGE($D255:$H255)</f>
        <v>12.826479794571899</v>
      </c>
      <c r="J255" s="147">
        <f t="shared" si="80"/>
        <v>12.826479794571899</v>
      </c>
      <c r="K255" s="147">
        <f t="shared" si="80"/>
        <v>12.826479794571899</v>
      </c>
      <c r="L255" s="147">
        <f t="shared" si="80"/>
        <v>12.826479794571899</v>
      </c>
      <c r="M255" s="147">
        <f t="shared" si="80"/>
        <v>12.826479794571899</v>
      </c>
      <c r="N255" s="147">
        <f t="shared" si="80"/>
        <v>12.826479794571899</v>
      </c>
      <c r="O255" s="147">
        <f t="shared" si="80"/>
        <v>12.826479794571899</v>
      </c>
      <c r="P255" s="147">
        <f t="shared" si="80"/>
        <v>12.826479794571899</v>
      </c>
      <c r="Q255" s="147">
        <f t="shared" si="80"/>
        <v>12.826479794571899</v>
      </c>
      <c r="R255" s="147">
        <f t="shared" si="80"/>
        <v>12.826479794571899</v>
      </c>
    </row>
    <row r="256" spans="2:18" x14ac:dyDescent="0.2">
      <c r="B256" s="118" t="s">
        <v>358</v>
      </c>
      <c r="D256" s="147">
        <f t="shared" si="79"/>
        <v>23.026785714285715</v>
      </c>
      <c r="E256" s="147">
        <f t="shared" si="79"/>
        <v>29.789473684210527</v>
      </c>
      <c r="F256" s="147">
        <f t="shared" si="79"/>
        <v>30.885416666666668</v>
      </c>
      <c r="G256" s="147">
        <f t="shared" si="79"/>
        <v>29.680851063829788</v>
      </c>
      <c r="H256" s="147">
        <f t="shared" si="79"/>
        <v>32.960526315789473</v>
      </c>
      <c r="I256" s="147">
        <f>AVERAGE($D256:$H256)</f>
        <v>29.268610688956436</v>
      </c>
      <c r="J256" s="147">
        <f t="shared" si="80"/>
        <v>29.268610688956436</v>
      </c>
      <c r="K256" s="147">
        <f t="shared" si="80"/>
        <v>29.268610688956436</v>
      </c>
      <c r="L256" s="147">
        <f t="shared" si="80"/>
        <v>29.268610688956436</v>
      </c>
      <c r="M256" s="147">
        <f t="shared" si="80"/>
        <v>29.268610688956436</v>
      </c>
      <c r="N256" s="147">
        <f t="shared" si="80"/>
        <v>29.268610688956436</v>
      </c>
      <c r="O256" s="147">
        <f t="shared" si="80"/>
        <v>29.268610688956436</v>
      </c>
      <c r="P256" s="147">
        <f t="shared" si="80"/>
        <v>29.268610688956436</v>
      </c>
      <c r="Q256" s="147">
        <f t="shared" si="80"/>
        <v>29.268610688956436</v>
      </c>
      <c r="R256" s="147">
        <f t="shared" si="80"/>
        <v>29.268610688956436</v>
      </c>
    </row>
    <row r="257" spans="2:18" ht="15.75" thickBot="1" x14ac:dyDescent="0.3">
      <c r="B257" s="232" t="s">
        <v>362</v>
      </c>
      <c r="C257" s="232"/>
      <c r="D257" s="236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</row>
  </sheetData>
  <hyperlinks>
    <hyperlink ref="H53" r:id="rId1" tooltip="Payout Ratio %_x000a_ FY: 2025_x000a_ Period End Date: Dec-31-2025_x000a_ Filing Date: Feb-26-2026_x000a_ Period Type: Annual_x000a_ Value: 39.8%" display="javascript:void(0);" xr:uid="{391B3567-0ED2-47E2-A169-2E8216FA2751}"/>
    <hyperlink ref="G53" r:id="rId2" tooltip="Payout Ratio %_x000a_ FY: 2024_x000a_ Period End Date: Dec-31-2024_x000a_ Filing Date: Feb-26-2026_x000a_ Period Type: Annual_x000a_ Value: 39.5%" display="javascript:void(0);" xr:uid="{AC6F79B7-FD39-4D67-BDE9-E1C54094DB22}"/>
    <hyperlink ref="F53" r:id="rId3" tooltip="Payout Ratio %_x000a_ FY: 2023_x000a_ Period End Date: Dec-31-2023_x000a_ Filing Date: Feb-26-2026_x000a_ Period Type: Annual_x000a_ Value: 42.9%" display="javascript:void(0);" xr:uid="{630D8887-27D3-4F3F-9F42-90BFF90E1F85}"/>
    <hyperlink ref="E53" r:id="rId4" tooltip="Payout Ratio %_x000a_ FY: 2022_x000a_ Period End Date: Dec-31-2022_x000a_ Filing Date: Feb-27-2025_x000a_ Period Type: Annual_x000a_ Value: 52.8%" display="javascript:void(0);" xr:uid="{A652A458-AD30-4C83-85B9-B387ADE13DEF}"/>
    <hyperlink ref="D53" r:id="rId5" tooltip="Payout Ratio %_x000a_ FY: 2021_x000a_ Period End Date: Dec-31-2021_x000a_ Filing Date: Feb-29-2024_x000a_ Period Type: Annual_x000a_ Value: 56.9%" display="javascript:void(0);" xr:uid="{AD5F9424-DEDC-4909-97E3-CCD66CBE9D33}"/>
    <hyperlink ref="D54" r:id="rId6" tooltip="Return on Equity %_x000a_ FY: 2021_x000a_ Period End Date: Dec-31-2021_x000a_ Filing Date: Feb-29-2024_x000a_ Period Type: Annual_x000a_ Value: 13.7%" display="javascript:void(0);" xr:uid="{93647F32-2886-449E-9C08-B881D15FD5FF}"/>
    <hyperlink ref="E54" r:id="rId7" tooltip="Return on Equity %_x000a_ FY: 2022_x000a_ Period End Date: Dec-31-2022_x000a_ Filing Date: Feb-27-2025_x000a_ Period Type: Annual_x000a_ Value: 14.7%" display="javascript:void(0);" xr:uid="{314B40EB-CF72-4867-9C0C-D428489F6D09}"/>
    <hyperlink ref="F54" r:id="rId8" tooltip="Return on Equity %_x000a_ FY: 2023_x000a_ Period End Date: Dec-31-2023_x000a_ Filing Date: Feb-26-2026_x000a_ Period Type: Annual_x000a_ Value: 17.8%" display="javascript:void(0);" xr:uid="{29250B49-35AA-44F7-8123-B6505AFDC0BA}"/>
    <hyperlink ref="G54" r:id="rId9" tooltip="Return on Equity %_x000a_ FY: 2024_x000a_ Period End Date: Dec-31-2024_x000a_ Filing Date: Feb-26-2026_x000a_ Period Type: Annual_x000a_ Value: 20.2%" display="javascript:void(0);" xr:uid="{D13AC021-9F5B-4E2C-A125-774D89A37FF6}"/>
    <hyperlink ref="H54" r:id="rId10" tooltip="Return on Equity %_x000a_ FY: 2025_x000a_ Period End Date: Dec-31-2025_x000a_ Filing Date: Feb-26-2026_x000a_ Period Type: Annual_x000a_ Value: 21.5%" display="javascript:void(0);" xr:uid="{D693A1E7-7EBF-451E-9B7F-F0381F825687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DD5C-4B46-4D45-9FB7-2741DF44C051}">
  <dimension ref="A2:Q47"/>
  <sheetViews>
    <sheetView showGridLines="0" topLeftCell="A16" zoomScale="160" zoomScaleNormal="160" workbookViewId="0">
      <selection activeCell="F14" sqref="F14"/>
    </sheetView>
  </sheetViews>
  <sheetFormatPr defaultColWidth="9.140625" defaultRowHeight="14.25" x14ac:dyDescent="0.2"/>
  <cols>
    <col min="1" max="1" width="9.140625" style="26"/>
    <col min="2" max="2" width="10.7109375" style="26" customWidth="1"/>
    <col min="3" max="4" width="14.7109375" style="26" customWidth="1"/>
    <col min="5" max="5" width="16.7109375" style="26" bestFit="1" customWidth="1"/>
    <col min="6" max="6" width="16.5703125" style="26" bestFit="1" customWidth="1"/>
    <col min="7" max="16384" width="9.140625" style="26"/>
  </cols>
  <sheetData>
    <row r="2" spans="1:6" ht="15" x14ac:dyDescent="0.25">
      <c r="A2" s="24" t="s">
        <v>98</v>
      </c>
      <c r="B2" s="24"/>
      <c r="C2" s="24"/>
      <c r="D2" s="24"/>
      <c r="E2" s="24"/>
      <c r="F2" s="24"/>
    </row>
    <row r="3" spans="1:6" ht="15" thickBot="1" x14ac:dyDescent="0.25"/>
    <row r="4" spans="1:6" ht="15.75" thickBot="1" x14ac:dyDescent="0.3">
      <c r="A4" s="35" t="s">
        <v>99</v>
      </c>
      <c r="B4" s="36" t="s">
        <v>101</v>
      </c>
      <c r="C4" s="36" t="s">
        <v>100</v>
      </c>
      <c r="D4" s="36" t="s">
        <v>111</v>
      </c>
      <c r="E4" s="36" t="s">
        <v>110</v>
      </c>
      <c r="F4" s="33" t="s">
        <v>112</v>
      </c>
    </row>
    <row r="5" spans="1:6" x14ac:dyDescent="0.2">
      <c r="A5" s="37">
        <v>2011</v>
      </c>
      <c r="B5" s="30">
        <v>-14</v>
      </c>
      <c r="C5" s="225">
        <v>417</v>
      </c>
      <c r="D5" s="225">
        <v>16049</v>
      </c>
      <c r="E5" s="38">
        <f>C5/D5</f>
        <v>2.5982927285189108E-2</v>
      </c>
      <c r="F5" s="39"/>
    </row>
    <row r="6" spans="1:6" x14ac:dyDescent="0.2">
      <c r="A6" s="37">
        <f>A5+1</f>
        <v>2012</v>
      </c>
      <c r="B6" s="30">
        <f>B5+1</f>
        <v>-13</v>
      </c>
      <c r="C6" s="225">
        <v>439</v>
      </c>
      <c r="D6" s="225">
        <v>16311</v>
      </c>
      <c r="E6" s="38">
        <f t="shared" ref="E6:E19" si="0">C6/D6</f>
        <v>2.6914352277604071E-2</v>
      </c>
      <c r="F6" s="39"/>
    </row>
    <row r="7" spans="1:6" x14ac:dyDescent="0.2">
      <c r="A7" s="37">
        <f t="shared" ref="A7:B24" si="1">A6+1</f>
        <v>2013</v>
      </c>
      <c r="B7" s="30">
        <f t="shared" si="1"/>
        <v>-12</v>
      </c>
      <c r="C7" s="225">
        <v>644</v>
      </c>
      <c r="D7" s="225">
        <v>22046</v>
      </c>
      <c r="E7" s="38">
        <f t="shared" si="0"/>
        <v>2.9211648371586681E-2</v>
      </c>
      <c r="F7" s="39"/>
    </row>
    <row r="8" spans="1:6" x14ac:dyDescent="0.2">
      <c r="A8" s="37">
        <f t="shared" si="1"/>
        <v>2014</v>
      </c>
      <c r="B8" s="30">
        <f t="shared" si="1"/>
        <v>-11</v>
      </c>
      <c r="C8" s="225">
        <v>647</v>
      </c>
      <c r="D8" s="225">
        <v>22552</v>
      </c>
      <c r="E8" s="38">
        <f t="shared" si="0"/>
        <v>2.8689251507626818E-2</v>
      </c>
      <c r="F8" s="39"/>
    </row>
    <row r="9" spans="1:6" x14ac:dyDescent="0.2">
      <c r="A9" s="37">
        <f t="shared" si="1"/>
        <v>2015</v>
      </c>
      <c r="B9" s="30">
        <f t="shared" si="1"/>
        <v>-10</v>
      </c>
      <c r="C9" s="225">
        <v>625</v>
      </c>
      <c r="D9" s="225">
        <v>20855</v>
      </c>
      <c r="E9" s="38">
        <f t="shared" si="0"/>
        <v>2.9968832414289139E-2</v>
      </c>
      <c r="F9" s="39"/>
    </row>
    <row r="10" spans="1:6" x14ac:dyDescent="0.2">
      <c r="A10" s="37">
        <f t="shared" si="1"/>
        <v>2016</v>
      </c>
      <c r="B10" s="30">
        <f t="shared" si="1"/>
        <v>-9</v>
      </c>
      <c r="C10" s="225">
        <v>587</v>
      </c>
      <c r="D10" s="225">
        <v>19747</v>
      </c>
      <c r="E10" s="38">
        <f t="shared" si="0"/>
        <v>2.9726034334329264E-2</v>
      </c>
      <c r="F10" s="39"/>
    </row>
    <row r="11" spans="1:6" x14ac:dyDescent="0.2">
      <c r="A11" s="37">
        <f t="shared" si="1"/>
        <v>2017</v>
      </c>
      <c r="B11" s="30">
        <f t="shared" si="1"/>
        <v>-8</v>
      </c>
      <c r="C11" s="225">
        <v>584</v>
      </c>
      <c r="D11" s="225">
        <v>20404</v>
      </c>
      <c r="E11" s="38">
        <f t="shared" si="0"/>
        <v>2.8621838855126445E-2</v>
      </c>
      <c r="F11" s="39"/>
    </row>
    <row r="12" spans="1:6" x14ac:dyDescent="0.2">
      <c r="A12" s="37">
        <f t="shared" si="1"/>
        <v>2018</v>
      </c>
      <c r="B12" s="30">
        <f t="shared" si="1"/>
        <v>-7</v>
      </c>
      <c r="C12" s="225">
        <v>584</v>
      </c>
      <c r="D12" s="225">
        <v>21609</v>
      </c>
      <c r="E12" s="38">
        <f t="shared" si="0"/>
        <v>2.7025776296913322E-2</v>
      </c>
      <c r="F12" s="39"/>
    </row>
    <row r="13" spans="1:6" x14ac:dyDescent="0.2">
      <c r="A13" s="37">
        <f t="shared" si="1"/>
        <v>2019</v>
      </c>
      <c r="B13" s="30">
        <f t="shared" si="1"/>
        <v>-6</v>
      </c>
      <c r="C13" s="225">
        <v>606</v>
      </c>
      <c r="D13" s="225">
        <v>21390</v>
      </c>
      <c r="E13" s="38">
        <f t="shared" si="0"/>
        <v>2.8330995792426369E-2</v>
      </c>
      <c r="F13" s="39"/>
    </row>
    <row r="14" spans="1:6" x14ac:dyDescent="0.2">
      <c r="A14" s="37">
        <f t="shared" si="1"/>
        <v>2020</v>
      </c>
      <c r="B14" s="30">
        <f t="shared" si="1"/>
        <v>-5</v>
      </c>
      <c r="C14" s="225">
        <v>551</v>
      </c>
      <c r="D14" s="225">
        <v>17858</v>
      </c>
      <c r="E14" s="38">
        <f t="shared" si="0"/>
        <v>3.0854518983088813E-2</v>
      </c>
      <c r="F14" s="39"/>
    </row>
    <row r="15" spans="1:6" x14ac:dyDescent="0.2">
      <c r="A15" s="37">
        <f t="shared" si="1"/>
        <v>2021</v>
      </c>
      <c r="B15" s="30">
        <f t="shared" si="1"/>
        <v>-4</v>
      </c>
      <c r="C15" s="225">
        <v>616</v>
      </c>
      <c r="D15" s="225">
        <v>19628</v>
      </c>
      <c r="E15" s="38">
        <f t="shared" si="0"/>
        <v>3.1383737517831668E-2</v>
      </c>
      <c r="F15" s="40">
        <f t="shared" ref="F15:F26" si="2">0.1*SUM(C5:C14)</f>
        <v>568.4</v>
      </c>
    </row>
    <row r="16" spans="1:6" x14ac:dyDescent="0.2">
      <c r="A16" s="37">
        <f t="shared" si="1"/>
        <v>2022</v>
      </c>
      <c r="B16" s="30">
        <f t="shared" si="1"/>
        <v>-3</v>
      </c>
      <c r="C16" s="225">
        <v>665</v>
      </c>
      <c r="D16" s="225">
        <v>20752</v>
      </c>
      <c r="E16" s="38">
        <f t="shared" si="0"/>
        <v>3.2045104086353124E-2</v>
      </c>
      <c r="F16" s="40">
        <f t="shared" si="2"/>
        <v>588.30000000000007</v>
      </c>
    </row>
    <row r="17" spans="1:17" x14ac:dyDescent="0.2">
      <c r="A17" s="37">
        <f t="shared" si="1"/>
        <v>2023</v>
      </c>
      <c r="B17" s="30">
        <f t="shared" si="1"/>
        <v>-2</v>
      </c>
      <c r="C17" s="225">
        <v>754</v>
      </c>
      <c r="D17" s="225">
        <v>23196</v>
      </c>
      <c r="E17" s="38">
        <f t="shared" si="0"/>
        <v>3.2505604414554232E-2</v>
      </c>
      <c r="F17" s="40">
        <f t="shared" si="2"/>
        <v>610.9</v>
      </c>
    </row>
    <row r="18" spans="1:17" x14ac:dyDescent="0.2">
      <c r="A18" s="37">
        <f t="shared" si="1"/>
        <v>2024</v>
      </c>
      <c r="B18" s="30">
        <f t="shared" si="1"/>
        <v>-1</v>
      </c>
      <c r="C18" s="225">
        <v>794</v>
      </c>
      <c r="D18" s="225">
        <v>24878</v>
      </c>
      <c r="E18" s="38">
        <f t="shared" si="0"/>
        <v>3.1915748854409516E-2</v>
      </c>
      <c r="F18" s="40">
        <f t="shared" si="2"/>
        <v>621.90000000000009</v>
      </c>
    </row>
    <row r="19" spans="1:17" x14ac:dyDescent="0.2">
      <c r="A19" s="37">
        <f t="shared" si="1"/>
        <v>2025</v>
      </c>
      <c r="B19" s="30">
        <f t="shared" si="1"/>
        <v>0</v>
      </c>
      <c r="C19" s="225">
        <v>797</v>
      </c>
      <c r="D19" s="225">
        <v>27448</v>
      </c>
      <c r="E19" s="38">
        <f t="shared" si="0"/>
        <v>2.9036723987175751E-2</v>
      </c>
      <c r="F19" s="40">
        <f t="shared" si="2"/>
        <v>636.6</v>
      </c>
    </row>
    <row r="20" spans="1:17" x14ac:dyDescent="0.2">
      <c r="A20" s="37">
        <f t="shared" si="1"/>
        <v>2026</v>
      </c>
      <c r="B20" s="30">
        <f t="shared" si="1"/>
        <v>1</v>
      </c>
      <c r="C20" s="46">
        <f>D20*E20</f>
        <v>891.76723213540606</v>
      </c>
      <c r="D20" s="46">
        <f>'Inputs FS'!I6</f>
        <v>30249.010338966356</v>
      </c>
      <c r="E20" s="119">
        <f>AVERAGE(E5:E19)</f>
        <v>2.948087299856696E-2</v>
      </c>
      <c r="F20" s="40">
        <f t="shared" si="2"/>
        <v>653.80000000000007</v>
      </c>
    </row>
    <row r="21" spans="1:17" x14ac:dyDescent="0.2">
      <c r="A21" s="37">
        <f t="shared" si="1"/>
        <v>2027</v>
      </c>
      <c r="B21" s="30">
        <f t="shared" si="1"/>
        <v>2</v>
      </c>
      <c r="C21" s="46">
        <f t="shared" ref="C21:C29" si="3">D21*E21</f>
        <v>990.54399321694086</v>
      </c>
      <c r="D21" s="46">
        <f>'Inputs FS'!J6</f>
        <v>33335.857858018564</v>
      </c>
      <c r="E21" s="119">
        <f t="shared" ref="E21:E29" si="4">AVERAGE(E6:E20)</f>
        <v>2.9714069379458814E-2</v>
      </c>
      <c r="F21" s="40">
        <f t="shared" si="2"/>
        <v>684.27672321354066</v>
      </c>
    </row>
    <row r="22" spans="1:17" x14ac:dyDescent="0.2">
      <c r="A22" s="37">
        <f t="shared" si="1"/>
        <v>2028</v>
      </c>
      <c r="B22" s="30">
        <f t="shared" si="1"/>
        <v>3</v>
      </c>
      <c r="C22" s="46">
        <f t="shared" si="3"/>
        <v>1098.483925720438</v>
      </c>
      <c r="D22" s="46">
        <f>'Inputs FS'!K6</f>
        <v>36737.711636750086</v>
      </c>
      <c r="E22" s="119">
        <f t="shared" si="4"/>
        <v>2.9900717186249131E-2</v>
      </c>
      <c r="F22" s="40">
        <f t="shared" si="2"/>
        <v>724.93112253523475</v>
      </c>
    </row>
    <row r="23" spans="1:17" x14ac:dyDescent="0.2">
      <c r="A23" s="37">
        <f t="shared" si="1"/>
        <v>2029</v>
      </c>
      <c r="B23" s="30">
        <f t="shared" si="1"/>
        <v>4</v>
      </c>
      <c r="C23" s="46">
        <f t="shared" si="3"/>
        <v>1212.4417623304353</v>
      </c>
      <c r="D23" s="46">
        <f>'Inputs FS'!L6</f>
        <v>40486.717397625252</v>
      </c>
      <c r="E23" s="119">
        <f t="shared" si="4"/>
        <v>2.9946655107226626E-2</v>
      </c>
      <c r="F23" s="40">
        <f t="shared" si="2"/>
        <v>776.37951510727862</v>
      </c>
    </row>
    <row r="24" spans="1:17" x14ac:dyDescent="0.2">
      <c r="A24" s="37">
        <f t="shared" si="1"/>
        <v>2030</v>
      </c>
      <c r="B24" s="30">
        <f t="shared" si="1"/>
        <v>5</v>
      </c>
      <c r="C24" s="46">
        <f>D24*E24</f>
        <v>1339.9090936605287</v>
      </c>
      <c r="D24" s="46">
        <f>'Inputs FS'!M$6</f>
        <v>44618.301266087707</v>
      </c>
      <c r="E24" s="119">
        <f>AVERAGE(E9:E23)</f>
        <v>3.003048201386661E-2</v>
      </c>
      <c r="F24" s="40">
        <f t="shared" si="2"/>
        <v>837.02369134032199</v>
      </c>
    </row>
    <row r="25" spans="1:17" x14ac:dyDescent="0.2">
      <c r="A25" s="37">
        <f t="shared" ref="A25:B29" si="5">A24+1</f>
        <v>2031</v>
      </c>
      <c r="B25" s="30">
        <f t="shared" si="5"/>
        <v>6</v>
      </c>
      <c r="C25" s="46">
        <f>D25*E25</f>
        <v>1468.7320994591817</v>
      </c>
      <c r="D25" s="46">
        <f>'Inputs FS'!N$6</f>
        <v>48901.350152733859</v>
      </c>
      <c r="E25" s="119">
        <f>AVERAGE(E10:E24)</f>
        <v>3.0034591987171774E-2</v>
      </c>
      <c r="F25" s="40">
        <f t="shared" si="2"/>
        <v>915.91460070637504</v>
      </c>
    </row>
    <row r="26" spans="1:17" x14ac:dyDescent="0.2">
      <c r="A26" s="37">
        <f t="shared" si="5"/>
        <v>2032</v>
      </c>
      <c r="B26" s="30">
        <f t="shared" si="5"/>
        <v>7</v>
      </c>
      <c r="C26" s="46">
        <f t="shared" si="3"/>
        <v>1601.9237760041005</v>
      </c>
      <c r="D26" s="46">
        <f>'Inputs FS'!O$6</f>
        <v>53299.454832251962</v>
      </c>
      <c r="E26" s="119">
        <f t="shared" si="4"/>
        <v>3.0055162497361277E-2</v>
      </c>
      <c r="F26" s="40">
        <f t="shared" si="2"/>
        <v>1001.1878106522931</v>
      </c>
    </row>
    <row r="27" spans="1:17" ht="15" thickBot="1" x14ac:dyDescent="0.25">
      <c r="A27" s="37">
        <f t="shared" si="5"/>
        <v>2033</v>
      </c>
      <c r="B27" s="30">
        <f t="shared" si="5"/>
        <v>8</v>
      </c>
      <c r="C27" s="46">
        <f t="shared" si="3"/>
        <v>1741.8190253659236</v>
      </c>
      <c r="D27" s="46">
        <f>'Inputs FS'!P$6</f>
        <v>57770.400679440085</v>
      </c>
      <c r="E27" s="119">
        <f t="shared" si="4"/>
        <v>3.0150717406843601E-2</v>
      </c>
      <c r="F27" s="40">
        <f>0.1*SUM(C17:C26)</f>
        <v>1094.880188252703</v>
      </c>
    </row>
    <row r="28" spans="1:17" ht="15" thickBot="1" x14ac:dyDescent="0.25">
      <c r="A28" s="37">
        <f t="shared" si="5"/>
        <v>2034</v>
      </c>
      <c r="B28" s="30">
        <f t="shared" si="5"/>
        <v>9</v>
      </c>
      <c r="C28" s="46">
        <f t="shared" si="3"/>
        <v>1890.3545528009761</v>
      </c>
      <c r="D28" s="46">
        <f>'Inputs FS'!Q$6</f>
        <v>62266.597642931134</v>
      </c>
      <c r="E28" s="119">
        <f t="shared" si="4"/>
        <v>3.0359046814172286E-2</v>
      </c>
      <c r="F28" s="40">
        <f>0.1*SUM(C18:C27)</f>
        <v>1193.6620907892955</v>
      </c>
      <c r="Q28" s="44"/>
    </row>
    <row r="29" spans="1:17" ht="15" thickBot="1" x14ac:dyDescent="0.25">
      <c r="A29" s="41">
        <f t="shared" si="5"/>
        <v>2035</v>
      </c>
      <c r="B29" s="42">
        <f t="shared" si="5"/>
        <v>10</v>
      </c>
      <c r="C29" s="45">
        <f t="shared" si="3"/>
        <v>1977.5722967558606</v>
      </c>
      <c r="D29" s="45">
        <f>'Inputs FS'!R$6</f>
        <v>64850.661445112783</v>
      </c>
      <c r="E29" s="47">
        <f t="shared" si="4"/>
        <v>3.0494250215622014E-2</v>
      </c>
      <c r="F29" s="43">
        <f>0.1*SUM(C19:C28)</f>
        <v>1303.2975460693931</v>
      </c>
    </row>
    <row r="43" spans="2:2" x14ac:dyDescent="0.2">
      <c r="B43" s="30"/>
    </row>
    <row r="44" spans="2:2" x14ac:dyDescent="0.2">
      <c r="B44" s="30"/>
    </row>
    <row r="45" spans="2:2" x14ac:dyDescent="0.2">
      <c r="B45" s="30"/>
    </row>
    <row r="46" spans="2:2" x14ac:dyDescent="0.2">
      <c r="B46" s="30"/>
    </row>
    <row r="47" spans="2:2" x14ac:dyDescent="0.2">
      <c r="B47" s="30"/>
    </row>
  </sheetData>
  <pageMargins left="0.7" right="0.7" top="0.75" bottom="0.75" header="0.3" footer="0.3"/>
  <ignoredErrors>
    <ignoredError sqref="F15:F2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00A6-D5A1-4F61-8098-6148A9E4E612}">
  <dimension ref="A2:Y550"/>
  <sheetViews>
    <sheetView showGridLines="0" zoomScale="121" zoomScaleNormal="145" workbookViewId="0">
      <selection activeCell="E31" sqref="E31"/>
    </sheetView>
  </sheetViews>
  <sheetFormatPr defaultColWidth="9.140625" defaultRowHeight="14.25" x14ac:dyDescent="0.2"/>
  <cols>
    <col min="1" max="1" width="4.7109375" style="26" customWidth="1"/>
    <col min="2" max="2" width="9.140625" style="26"/>
    <col min="3" max="3" width="10.140625" style="26" bestFit="1" customWidth="1"/>
    <col min="4" max="4" width="11.5703125" style="26" bestFit="1" customWidth="1"/>
    <col min="5" max="5" width="11.7109375" style="26" bestFit="1" customWidth="1"/>
    <col min="6" max="6" width="13" style="26" bestFit="1" customWidth="1"/>
    <col min="7" max="7" width="16" style="26" bestFit="1" customWidth="1"/>
    <col min="8" max="8" width="10.7109375" style="26" customWidth="1"/>
    <col min="9" max="9" width="12.7109375" style="26" bestFit="1" customWidth="1"/>
    <col min="10" max="10" width="10.7109375" style="26" customWidth="1"/>
    <col min="11" max="11" width="12" style="26" customWidth="1"/>
    <col min="12" max="12" width="17.28515625" style="26" bestFit="1" customWidth="1"/>
    <col min="13" max="13" width="9.140625" style="26"/>
    <col min="14" max="16" width="16.7109375" style="26" customWidth="1"/>
    <col min="17" max="17" width="11.5703125" style="26" bestFit="1" customWidth="1"/>
    <col min="18" max="19" width="17.28515625" style="26" bestFit="1" customWidth="1"/>
    <col min="20" max="20" width="10.42578125" style="26" bestFit="1" customWidth="1"/>
    <col min="21" max="24" width="12.7109375" style="26" customWidth="1"/>
    <col min="25" max="16384" width="9.140625" style="26"/>
  </cols>
  <sheetData>
    <row r="2" spans="1:25" s="79" customFormat="1" ht="15" x14ac:dyDescent="0.25">
      <c r="A2" s="26"/>
      <c r="B2" s="24" t="s">
        <v>114</v>
      </c>
    </row>
    <row r="3" spans="1:25" ht="3.95" customHeight="1" x14ac:dyDescent="0.25">
      <c r="B3" s="80"/>
    </row>
    <row r="4" spans="1:25" ht="15" x14ac:dyDescent="0.25">
      <c r="B4" s="26" t="s">
        <v>172</v>
      </c>
      <c r="E4" s="105">
        <v>4.4928999999999997E-2</v>
      </c>
      <c r="F4" s="51"/>
      <c r="G4" s="244" t="s">
        <v>168</v>
      </c>
      <c r="H4" s="245"/>
      <c r="I4" s="245"/>
      <c r="J4" s="246"/>
      <c r="N4" s="64" t="s">
        <v>130</v>
      </c>
      <c r="U4" s="64" t="s">
        <v>155</v>
      </c>
    </row>
    <row r="5" spans="1:25" x14ac:dyDescent="0.2">
      <c r="B5" s="26" t="s">
        <v>161</v>
      </c>
      <c r="E5" s="106">
        <v>9.5600000000000004E-4</v>
      </c>
      <c r="F5" s="54"/>
      <c r="G5" s="26" t="s">
        <v>169</v>
      </c>
      <c r="I5" s="109">
        <v>166064</v>
      </c>
      <c r="J5" s="81">
        <f>I5/$I$7</f>
        <v>0.94512946267684872</v>
      </c>
      <c r="U5" s="243" t="s">
        <v>156</v>
      </c>
      <c r="V5" s="243"/>
      <c r="W5" s="243"/>
      <c r="X5" s="67"/>
      <c r="Y5" s="67"/>
    </row>
    <row r="6" spans="1:25" ht="15" x14ac:dyDescent="0.25">
      <c r="B6" s="26" t="s">
        <v>162</v>
      </c>
      <c r="E6" s="106">
        <v>4.3889999999999997E-3</v>
      </c>
      <c r="G6" s="26" t="s">
        <v>170</v>
      </c>
      <c r="I6" s="87">
        <f>R21+S30+P42</f>
        <v>9641.0293720229784</v>
      </c>
      <c r="J6" s="81">
        <f>I6/$I$7</f>
        <v>5.4870537323151274E-2</v>
      </c>
      <c r="N6" s="60" t="s">
        <v>125</v>
      </c>
      <c r="O6" s="61" t="s">
        <v>129</v>
      </c>
      <c r="P6" s="61" t="s">
        <v>118</v>
      </c>
      <c r="Q6" s="61" t="s">
        <v>126</v>
      </c>
      <c r="R6" s="62" t="s">
        <v>128</v>
      </c>
      <c r="U6" s="68"/>
      <c r="V6" s="74"/>
      <c r="W6" s="74"/>
      <c r="X6" s="74"/>
      <c r="Y6" s="67"/>
    </row>
    <row r="7" spans="1:25" ht="15.75" thickBot="1" x14ac:dyDescent="0.3">
      <c r="B7" s="26" t="s">
        <v>173</v>
      </c>
      <c r="E7" s="242">
        <f>E6-E5</f>
        <v>3.4329999999999994E-3</v>
      </c>
      <c r="F7" s="54"/>
      <c r="G7" s="58" t="s">
        <v>171</v>
      </c>
      <c r="H7" s="58"/>
      <c r="I7" s="88">
        <f>SUM(I5:I6)</f>
        <v>175705.02937202298</v>
      </c>
      <c r="J7" s="89">
        <f>SUM(J5:J6)</f>
        <v>1</v>
      </c>
      <c r="N7" s="30">
        <v>2026</v>
      </c>
      <c r="O7" s="135">
        <v>72</v>
      </c>
      <c r="P7" s="134">
        <v>6.2179999999999999E-2</v>
      </c>
      <c r="Q7" s="115">
        <v>100</v>
      </c>
      <c r="R7" s="65">
        <f>O7*(Q7/100)</f>
        <v>72</v>
      </c>
      <c r="U7" s="71" t="s">
        <v>136</v>
      </c>
      <c r="V7" s="72" t="s">
        <v>137</v>
      </c>
      <c r="W7" s="72" t="s">
        <v>138</v>
      </c>
      <c r="X7" s="73" t="s">
        <v>139</v>
      </c>
      <c r="Y7" s="67"/>
    </row>
    <row r="8" spans="1:25" ht="15" x14ac:dyDescent="0.25">
      <c r="B8" s="52" t="s">
        <v>124</v>
      </c>
      <c r="C8" s="53"/>
      <c r="D8" s="53"/>
      <c r="E8" s="55">
        <f>E4-E7</f>
        <v>4.1495999999999998E-2</v>
      </c>
      <c r="F8" s="100"/>
      <c r="N8" s="30">
        <v>2027</v>
      </c>
      <c r="O8" s="135">
        <v>700</v>
      </c>
      <c r="P8" s="134">
        <v>4.2630000000000001E-2</v>
      </c>
      <c r="Q8" s="115">
        <v>98.53</v>
      </c>
      <c r="R8" s="65">
        <f t="shared" ref="R8:R20" si="0">O8*(Q8/100)</f>
        <v>689.71</v>
      </c>
      <c r="U8" s="69">
        <v>-100000</v>
      </c>
      <c r="V8" s="69">
        <v>0.19999900000000001</v>
      </c>
      <c r="W8" s="69" t="s">
        <v>140</v>
      </c>
      <c r="X8" s="70">
        <v>0.19</v>
      </c>
      <c r="Y8" s="67"/>
    </row>
    <row r="9" spans="1:25" x14ac:dyDescent="0.2">
      <c r="N9" s="30">
        <v>2028</v>
      </c>
      <c r="O9" s="135">
        <v>500</v>
      </c>
      <c r="P9" s="134">
        <v>4.4109999999999996E-2</v>
      </c>
      <c r="Q9" s="115">
        <v>99.88</v>
      </c>
      <c r="R9" s="65">
        <f t="shared" si="0"/>
        <v>499.4</v>
      </c>
      <c r="U9" s="69">
        <v>0.2</v>
      </c>
      <c r="V9" s="69">
        <v>0.64999899999999999</v>
      </c>
      <c r="W9" s="69" t="s">
        <v>141</v>
      </c>
      <c r="X9" s="70">
        <v>0.16</v>
      </c>
      <c r="Y9" s="67"/>
    </row>
    <row r="10" spans="1:25" ht="15" x14ac:dyDescent="0.25">
      <c r="B10" s="244" t="s">
        <v>115</v>
      </c>
      <c r="C10" s="245"/>
      <c r="D10" s="245"/>
      <c r="E10" s="246"/>
      <c r="G10" s="244" t="s">
        <v>116</v>
      </c>
      <c r="H10" s="245"/>
      <c r="I10" s="245"/>
      <c r="J10" s="245"/>
      <c r="K10" s="246"/>
      <c r="N10" s="30">
        <v>2029</v>
      </c>
      <c r="O10" s="135">
        <v>200</v>
      </c>
      <c r="P10" s="134">
        <v>4.6849999999999996E-2</v>
      </c>
      <c r="Q10" s="115">
        <v>109.42</v>
      </c>
      <c r="R10" s="65">
        <f t="shared" si="0"/>
        <v>218.84</v>
      </c>
      <c r="U10" s="69">
        <v>0.65</v>
      </c>
      <c r="V10" s="69">
        <v>0.79999900000000002</v>
      </c>
      <c r="W10" s="69" t="s">
        <v>142</v>
      </c>
      <c r="X10" s="70">
        <v>0.12609999999999999</v>
      </c>
      <c r="Y10" s="67"/>
    </row>
    <row r="11" spans="1:25" x14ac:dyDescent="0.2">
      <c r="G11" s="26" t="s">
        <v>159</v>
      </c>
      <c r="K11" s="76" t="s">
        <v>117</v>
      </c>
      <c r="N11" s="30">
        <v>2030</v>
      </c>
      <c r="O11" s="135">
        <v>500</v>
      </c>
      <c r="P11" s="134">
        <v>4.7400000000000005E-2</v>
      </c>
      <c r="Q11" s="115">
        <v>98.96</v>
      </c>
      <c r="R11" s="65">
        <f t="shared" si="0"/>
        <v>494.79999999999995</v>
      </c>
      <c r="U11" s="69">
        <v>0.8</v>
      </c>
      <c r="V11" s="69">
        <v>1.2499990000000001</v>
      </c>
      <c r="W11" s="69" t="s">
        <v>143</v>
      </c>
      <c r="X11" s="70">
        <v>8.8499999999999995E-2</v>
      </c>
      <c r="Y11" s="67"/>
    </row>
    <row r="12" spans="1:25" x14ac:dyDescent="0.2">
      <c r="B12" s="26" t="s">
        <v>124</v>
      </c>
      <c r="E12" s="107">
        <f>E8</f>
        <v>4.1495999999999998E-2</v>
      </c>
      <c r="K12" s="76"/>
      <c r="N12" s="30">
        <v>2032</v>
      </c>
      <c r="O12" s="135">
        <v>700</v>
      </c>
      <c r="P12" s="134">
        <v>4.8170000000000004E-2</v>
      </c>
      <c r="Q12" s="115">
        <v>95.51</v>
      </c>
      <c r="R12" s="65">
        <f t="shared" si="0"/>
        <v>668.57</v>
      </c>
      <c r="U12" s="69">
        <v>1.25</v>
      </c>
      <c r="V12" s="69">
        <v>1.4999990000000001</v>
      </c>
      <c r="W12" s="69" t="s">
        <v>144</v>
      </c>
      <c r="X12" s="70">
        <v>5.0900000000000001E-2</v>
      </c>
      <c r="Y12" s="67"/>
    </row>
    <row r="13" spans="1:25" x14ac:dyDescent="0.2">
      <c r="B13" s="26" t="s">
        <v>210</v>
      </c>
      <c r="E13" s="108">
        <f>I56</f>
        <v>1.4567442101493566</v>
      </c>
      <c r="G13" s="26" t="s">
        <v>135</v>
      </c>
      <c r="K13" s="77">
        <v>9.4999999999999998E-3</v>
      </c>
      <c r="N13" s="30">
        <v>2033</v>
      </c>
      <c r="O13" s="135">
        <v>1300</v>
      </c>
      <c r="P13" s="134">
        <v>4.8579999999999998E-2</v>
      </c>
      <c r="Q13" s="115">
        <v>95.93</v>
      </c>
      <c r="R13" s="65">
        <f t="shared" si="0"/>
        <v>1247.0900000000001</v>
      </c>
      <c r="U13" s="69">
        <v>1.5</v>
      </c>
      <c r="V13" s="69">
        <v>1.7499990000000001</v>
      </c>
      <c r="W13" s="69" t="s">
        <v>145</v>
      </c>
      <c r="X13" s="70">
        <v>3.2099999999999997E-2</v>
      </c>
      <c r="Y13" s="67"/>
    </row>
    <row r="14" spans="1:25" x14ac:dyDescent="0.2">
      <c r="B14" s="26" t="s">
        <v>228</v>
      </c>
      <c r="E14" s="107">
        <f>R53</f>
        <v>4.9454743515010204E-2</v>
      </c>
      <c r="G14" s="26" t="s">
        <v>371</v>
      </c>
      <c r="K14" s="78">
        <v>5.2240000000000002E-2</v>
      </c>
      <c r="N14" s="30">
        <v>2034</v>
      </c>
      <c r="O14" s="135">
        <v>140</v>
      </c>
      <c r="P14" s="134">
        <v>5.4130000000000005E-2</v>
      </c>
      <c r="Q14" s="115">
        <v>100.24</v>
      </c>
      <c r="R14" s="65">
        <f t="shared" si="0"/>
        <v>140.33599999999998</v>
      </c>
      <c r="U14" s="69">
        <v>1.75</v>
      </c>
      <c r="V14" s="69">
        <v>1.9999990000000001</v>
      </c>
      <c r="W14" s="69" t="s">
        <v>146</v>
      </c>
      <c r="X14" s="70">
        <v>2.75E-2</v>
      </c>
      <c r="Y14" s="67"/>
    </row>
    <row r="15" spans="1:25" x14ac:dyDescent="0.2">
      <c r="B15" s="26" t="s">
        <v>225</v>
      </c>
      <c r="E15" s="107">
        <f>T53</f>
        <v>6.1547435150102019E-3</v>
      </c>
      <c r="N15" s="30">
        <v>2035</v>
      </c>
      <c r="O15" s="135">
        <v>581.5</v>
      </c>
      <c r="P15" s="134">
        <v>3.8429999999999999E-2</v>
      </c>
      <c r="Q15" s="115">
        <v>98.37</v>
      </c>
      <c r="R15" s="65">
        <f t="shared" si="0"/>
        <v>572.02155000000005</v>
      </c>
      <c r="U15" s="69">
        <v>2</v>
      </c>
      <c r="V15" s="69">
        <v>2.2499999000000002</v>
      </c>
      <c r="W15" s="69" t="s">
        <v>147</v>
      </c>
      <c r="X15" s="70">
        <v>1.84E-2</v>
      </c>
      <c r="Y15" s="67"/>
    </row>
    <row r="16" spans="1:25" ht="15" x14ac:dyDescent="0.25">
      <c r="B16" s="52" t="s">
        <v>211</v>
      </c>
      <c r="C16" s="53"/>
      <c r="D16" s="53"/>
      <c r="E16" s="55">
        <f>E12+E13*E14+E15</f>
        <v>0.11969365479492276</v>
      </c>
      <c r="G16" s="26" t="s">
        <v>160</v>
      </c>
      <c r="K16" s="83">
        <f>E8+K13</f>
        <v>5.0996E-2</v>
      </c>
      <c r="N16" s="30">
        <v>2035</v>
      </c>
      <c r="O16" s="135">
        <v>27</v>
      </c>
      <c r="P16" s="134">
        <v>5.5599999999999997E-2</v>
      </c>
      <c r="Q16" s="115">
        <v>97.81</v>
      </c>
      <c r="R16" s="65">
        <f t="shared" si="0"/>
        <v>26.4087</v>
      </c>
      <c r="U16" s="69">
        <v>2.25</v>
      </c>
      <c r="V16" s="69">
        <v>2.4999899999999999</v>
      </c>
      <c r="W16" s="69" t="s">
        <v>148</v>
      </c>
      <c r="X16" s="70">
        <v>1.38E-2</v>
      </c>
      <c r="Y16" s="67"/>
    </row>
    <row r="17" spans="2:25" ht="15" x14ac:dyDescent="0.25">
      <c r="G17" s="52" t="s">
        <v>372</v>
      </c>
      <c r="H17" s="53"/>
      <c r="I17" s="53"/>
      <c r="J17" s="53"/>
      <c r="K17" s="84">
        <f>AVERAGE(K16,K14)</f>
        <v>5.1617999999999997E-2</v>
      </c>
      <c r="N17" s="30">
        <v>2037</v>
      </c>
      <c r="O17" s="135">
        <v>240</v>
      </c>
      <c r="P17" s="134">
        <v>5.4649999999999997E-2</v>
      </c>
      <c r="Q17" s="115">
        <v>102.7</v>
      </c>
      <c r="R17" s="65">
        <f t="shared" si="0"/>
        <v>246.48000000000002</v>
      </c>
      <c r="U17" s="69">
        <v>2.5</v>
      </c>
      <c r="V17" s="69">
        <v>2.9999989999999999</v>
      </c>
      <c r="W17" s="69" t="s">
        <v>149</v>
      </c>
      <c r="X17" s="70">
        <v>1.11E-2</v>
      </c>
      <c r="Y17" s="67"/>
    </row>
    <row r="18" spans="2:25" ht="15" x14ac:dyDescent="0.25">
      <c r="B18" s="244" t="s">
        <v>212</v>
      </c>
      <c r="C18" s="245"/>
      <c r="D18" s="245"/>
      <c r="E18" s="246"/>
      <c r="G18" s="52" t="s">
        <v>373</v>
      </c>
      <c r="H18" s="53"/>
      <c r="I18" s="53"/>
      <c r="J18" s="53"/>
      <c r="K18" s="84">
        <f>K17*(1-I22)</f>
        <v>3.8713499999999998E-2</v>
      </c>
      <c r="N18" s="30">
        <v>2042</v>
      </c>
      <c r="O18" s="135">
        <v>1000</v>
      </c>
      <c r="P18" s="134">
        <v>5.6230000000000002E-2</v>
      </c>
      <c r="Q18" s="115">
        <v>84.33</v>
      </c>
      <c r="R18" s="65">
        <f t="shared" si="0"/>
        <v>843.3</v>
      </c>
      <c r="U18" s="69">
        <v>3</v>
      </c>
      <c r="V18" s="69">
        <v>4.2499989999999999</v>
      </c>
      <c r="W18" s="69" t="s">
        <v>150</v>
      </c>
      <c r="X18" s="70">
        <v>8.8999999999999999E-3</v>
      </c>
      <c r="Y18" s="67"/>
    </row>
    <row r="19" spans="2:25" x14ac:dyDescent="0.2">
      <c r="N19" s="30">
        <v>2047</v>
      </c>
      <c r="O19" s="135">
        <v>300</v>
      </c>
      <c r="P19" s="134">
        <v>5.756E-2</v>
      </c>
      <c r="Q19" s="115">
        <v>77.55</v>
      </c>
      <c r="R19" s="65">
        <f t="shared" si="0"/>
        <v>232.64999999999998</v>
      </c>
      <c r="U19" s="69">
        <v>4.25</v>
      </c>
      <c r="V19" s="69">
        <v>5.4999989999999999</v>
      </c>
      <c r="W19" s="69" t="s">
        <v>151</v>
      </c>
      <c r="X19" s="70">
        <v>7.7999999999999996E-3</v>
      </c>
      <c r="Y19" s="67"/>
    </row>
    <row r="20" spans="2:25" ht="15" x14ac:dyDescent="0.25">
      <c r="D20" s="56" t="s">
        <v>213</v>
      </c>
      <c r="E20" s="56" t="s">
        <v>214</v>
      </c>
      <c r="G20" s="244" t="s">
        <v>174</v>
      </c>
      <c r="H20" s="245"/>
      <c r="I20" s="245"/>
      <c r="J20" s="245"/>
      <c r="K20" s="245"/>
      <c r="L20" s="246"/>
      <c r="N20" s="30">
        <v>2052</v>
      </c>
      <c r="O20" s="135">
        <v>700</v>
      </c>
      <c r="P20" s="134">
        <v>5.7009999999999998E-2</v>
      </c>
      <c r="Q20" s="115">
        <v>86.45</v>
      </c>
      <c r="R20" s="65">
        <f t="shared" si="0"/>
        <v>605.15</v>
      </c>
      <c r="U20" s="69">
        <v>5.5</v>
      </c>
      <c r="V20" s="69">
        <v>6.4999989999999999</v>
      </c>
      <c r="W20" s="69" t="s">
        <v>152</v>
      </c>
      <c r="X20" s="70">
        <v>7.0000000000000001E-3</v>
      </c>
      <c r="Y20" s="67"/>
    </row>
    <row r="21" spans="2:25" ht="15.75" thickBot="1" x14ac:dyDescent="0.3">
      <c r="B21" s="26" t="s">
        <v>215</v>
      </c>
      <c r="D21" s="107">
        <f>E16</f>
        <v>0.11969365479492276</v>
      </c>
      <c r="E21" s="107">
        <f>J5</f>
        <v>0.94512946267684872</v>
      </c>
      <c r="N21" s="58" t="s">
        <v>127</v>
      </c>
      <c r="O21" s="59"/>
      <c r="P21" s="59"/>
      <c r="Q21" s="59"/>
      <c r="R21" s="63">
        <f>SUM(R7:R20)</f>
        <v>6556.7562499999995</v>
      </c>
      <c r="U21" s="69">
        <v>6.5</v>
      </c>
      <c r="V21" s="69">
        <v>8.4999990000000007</v>
      </c>
      <c r="W21" s="69" t="s">
        <v>153</v>
      </c>
      <c r="X21" s="70">
        <v>5.4999999999999997E-3</v>
      </c>
      <c r="Y21" s="67"/>
    </row>
    <row r="22" spans="2:25" x14ac:dyDescent="0.2">
      <c r="B22" s="26" t="s">
        <v>216</v>
      </c>
      <c r="D22" s="107">
        <f>K18</f>
        <v>3.8713499999999998E-2</v>
      </c>
      <c r="E22" s="107">
        <f>J6</f>
        <v>5.4870537323151274E-2</v>
      </c>
      <c r="G22" s="93" t="s">
        <v>209</v>
      </c>
      <c r="I22" s="110">
        <v>0.25</v>
      </c>
      <c r="U22" s="69">
        <v>8.5</v>
      </c>
      <c r="V22" s="69">
        <v>100000</v>
      </c>
      <c r="W22" s="69" t="s">
        <v>154</v>
      </c>
      <c r="X22" s="70">
        <v>4.0000000000000001E-3</v>
      </c>
      <c r="Y22" s="67"/>
    </row>
    <row r="23" spans="2:25" ht="15" x14ac:dyDescent="0.25">
      <c r="B23" s="52" t="s">
        <v>212</v>
      </c>
      <c r="C23" s="53"/>
      <c r="D23" s="53"/>
      <c r="E23" s="55">
        <f>SUMPRODUCT(D21:D22,E21:E22)</f>
        <v>0.11525023018881339</v>
      </c>
      <c r="N23" s="64" t="s">
        <v>131</v>
      </c>
    </row>
    <row r="24" spans="2:25" ht="15" x14ac:dyDescent="0.25">
      <c r="F24" s="90"/>
      <c r="G24" s="60" t="s">
        <v>175</v>
      </c>
      <c r="H24" s="61" t="s">
        <v>176</v>
      </c>
      <c r="I24" s="61" t="s">
        <v>177</v>
      </c>
      <c r="J24" s="61" t="s">
        <v>178</v>
      </c>
      <c r="K24" s="61" t="s">
        <v>179</v>
      </c>
      <c r="L24" s="62" t="s">
        <v>180</v>
      </c>
    </row>
    <row r="25" spans="2:25" ht="15" x14ac:dyDescent="0.25">
      <c r="F25" s="99"/>
      <c r="G25" s="247" t="s">
        <v>183</v>
      </c>
      <c r="H25" s="248"/>
      <c r="I25" s="248"/>
      <c r="J25" s="248"/>
      <c r="K25" s="248"/>
      <c r="L25" s="249"/>
      <c r="N25" s="60" t="s">
        <v>132</v>
      </c>
      <c r="O25" s="61" t="s">
        <v>129</v>
      </c>
      <c r="P25" s="61" t="s">
        <v>118</v>
      </c>
      <c r="Q25" s="61" t="s">
        <v>134</v>
      </c>
      <c r="R25" s="61" t="s">
        <v>133</v>
      </c>
      <c r="S25" s="62" t="s">
        <v>128</v>
      </c>
    </row>
    <row r="26" spans="2:25" x14ac:dyDescent="0.2">
      <c r="F26" s="99"/>
      <c r="G26" s="26" t="s">
        <v>181</v>
      </c>
      <c r="H26" s="111">
        <v>21320</v>
      </c>
      <c r="I26" s="111">
        <v>18300</v>
      </c>
      <c r="J26" s="57">
        <f>H26/I26</f>
        <v>1.1650273224043717</v>
      </c>
      <c r="K26" s="112">
        <v>1.1200000000000001</v>
      </c>
      <c r="L26" s="57">
        <f>K26/(1+J26*(1-$I$22))</f>
        <v>0.5977252843394576</v>
      </c>
      <c r="N26" s="114">
        <v>0.57999999999999996</v>
      </c>
      <c r="O26" s="114">
        <v>1057</v>
      </c>
      <c r="P26" s="116">
        <v>2.5999999999999999E-2</v>
      </c>
      <c r="Q26" s="105">
        <v>1.2800000000000001E-3</v>
      </c>
      <c r="R26" s="57">
        <f>PV(P26,N26,Q26*1000,-1000)/10</f>
        <v>98.449549043950611</v>
      </c>
      <c r="S26" s="66">
        <f>O26*(R26/100)</f>
        <v>1040.6117333945581</v>
      </c>
    </row>
    <row r="27" spans="2:25" x14ac:dyDescent="0.2">
      <c r="F27" s="99"/>
      <c r="G27" s="26" t="s">
        <v>184</v>
      </c>
      <c r="H27" s="111">
        <v>47210</v>
      </c>
      <c r="I27" s="111">
        <v>5990</v>
      </c>
      <c r="J27" s="57">
        <f>H27/I27</f>
        <v>7.8814691151919867</v>
      </c>
      <c r="K27" s="112">
        <v>1.1599999999999999</v>
      </c>
      <c r="L27" s="57">
        <f>K27/(1+J27*(1-$I$22))</f>
        <v>0.16784588441330997</v>
      </c>
      <c r="N27" s="114">
        <v>4</v>
      </c>
      <c r="O27" s="114">
        <v>704</v>
      </c>
      <c r="P27" s="116">
        <v>3.2870000000000003E-2</v>
      </c>
      <c r="Q27" s="105">
        <v>5.77E-3</v>
      </c>
      <c r="R27" s="57">
        <f>PV(P27,N27,Q27*1000,-1000)/10</f>
        <v>85.735162844581083</v>
      </c>
      <c r="S27" s="66">
        <f>O27*(R27/100)</f>
        <v>603.5755464258508</v>
      </c>
    </row>
    <row r="28" spans="2:25" x14ac:dyDescent="0.2">
      <c r="F28" s="90"/>
      <c r="G28" s="26" t="s">
        <v>194</v>
      </c>
      <c r="H28" s="111">
        <v>16820</v>
      </c>
      <c r="I28" s="111">
        <v>5520</v>
      </c>
      <c r="J28" s="57">
        <f>H28/I28</f>
        <v>3.0471014492753623</v>
      </c>
      <c r="K28" s="112">
        <v>1.01</v>
      </c>
      <c r="L28" s="57">
        <f>K28/(1+J28*(1-$I$22))</f>
        <v>0.30742762613730357</v>
      </c>
      <c r="N28" s="114">
        <v>5</v>
      </c>
      <c r="O28" s="114">
        <v>587</v>
      </c>
      <c r="P28" s="116">
        <v>3.6999999999999998E-2</v>
      </c>
      <c r="Q28" s="105">
        <v>3.0099999999999998E-2</v>
      </c>
      <c r="R28" s="57">
        <f>PV(P28,N28,Q28*1000,-1000)/10</f>
        <v>69.874839866513597</v>
      </c>
      <c r="S28" s="66">
        <f>O28*(R28/100)</f>
        <v>410.16531001643477</v>
      </c>
    </row>
    <row r="29" spans="2:25" ht="15" x14ac:dyDescent="0.25">
      <c r="F29" s="56"/>
      <c r="G29" s="26" t="s">
        <v>195</v>
      </c>
      <c r="H29" s="111">
        <v>6250</v>
      </c>
      <c r="I29" s="111">
        <v>5050</v>
      </c>
      <c r="J29" s="57">
        <f>H29/I29</f>
        <v>1.2376237623762376</v>
      </c>
      <c r="K29" s="112">
        <v>1.24</v>
      </c>
      <c r="L29" s="57">
        <f>K29/(1+J29*(1-$I$22))</f>
        <v>0.6430808729139923</v>
      </c>
      <c r="N29" s="114">
        <v>10</v>
      </c>
      <c r="O29" s="114">
        <v>587</v>
      </c>
      <c r="P29" s="116">
        <v>3.9E-2</v>
      </c>
      <c r="Q29" s="105">
        <v>3.8019999999999998E-2</v>
      </c>
      <c r="R29" s="57">
        <f>PV(P29,N29,Q29*1000,-1000)/10</f>
        <v>37.217732257100963</v>
      </c>
      <c r="S29" s="66">
        <f>O29*(R29/100)</f>
        <v>218.46808834918264</v>
      </c>
    </row>
    <row r="30" spans="2:25" ht="15.75" thickBot="1" x14ac:dyDescent="0.3">
      <c r="G30" s="91" t="s">
        <v>185</v>
      </c>
      <c r="H30" s="91"/>
      <c r="I30" s="91"/>
      <c r="J30" s="91"/>
      <c r="K30" s="91"/>
      <c r="L30" s="92">
        <f>AVERAGE(L26:L29)</f>
        <v>0.42901991695101588</v>
      </c>
      <c r="N30" s="58" t="s">
        <v>127</v>
      </c>
      <c r="O30" s="59"/>
      <c r="P30" s="59"/>
      <c r="Q30" s="59"/>
      <c r="R30" s="63"/>
      <c r="S30" s="63">
        <f>SUM(S26:S29)</f>
        <v>2272.8206781860267</v>
      </c>
    </row>
    <row r="31" spans="2:25" ht="15" x14ac:dyDescent="0.25">
      <c r="B31" s="64"/>
      <c r="F31" s="66"/>
      <c r="G31" s="247" t="s">
        <v>186</v>
      </c>
      <c r="H31" s="248"/>
      <c r="I31" s="248"/>
      <c r="J31" s="248"/>
      <c r="K31" s="248"/>
      <c r="L31" s="249"/>
    </row>
    <row r="32" spans="2:25" ht="15" x14ac:dyDescent="0.25">
      <c r="F32" s="66"/>
      <c r="G32" s="26" t="s">
        <v>188</v>
      </c>
      <c r="H32" s="111">
        <v>3910</v>
      </c>
      <c r="I32" s="111">
        <v>15070</v>
      </c>
      <c r="J32" s="75">
        <f>H32/I32</f>
        <v>0.25945587259455871</v>
      </c>
      <c r="K32" s="113">
        <v>1.2</v>
      </c>
      <c r="L32" s="57">
        <f>K32/(1+J32*(1-$I$22))</f>
        <v>1.0045271490070824</v>
      </c>
      <c r="N32" s="64" t="s">
        <v>157</v>
      </c>
    </row>
    <row r="33" spans="3:20" x14ac:dyDescent="0.2">
      <c r="E33" s="102"/>
      <c r="F33" s="66"/>
      <c r="G33" s="26" t="s">
        <v>189</v>
      </c>
      <c r="H33" s="111">
        <v>9000</v>
      </c>
      <c r="I33" s="111">
        <v>15370</v>
      </c>
      <c r="J33" s="75">
        <f>H33/I33</f>
        <v>0.58555627846454128</v>
      </c>
      <c r="K33" s="113">
        <v>1.08</v>
      </c>
      <c r="L33" s="57">
        <f>K33/(1+J33*(1-$I$22))</f>
        <v>0.7504339963833635</v>
      </c>
    </row>
    <row r="34" spans="3:20" ht="15" x14ac:dyDescent="0.25">
      <c r="E34" s="102"/>
      <c r="F34" s="66"/>
      <c r="G34" s="26" t="s">
        <v>190</v>
      </c>
      <c r="H34" s="111">
        <v>20820</v>
      </c>
      <c r="I34" s="111">
        <v>28700</v>
      </c>
      <c r="J34" s="75">
        <f>H34/I34</f>
        <v>0.72543554006968636</v>
      </c>
      <c r="K34" s="113">
        <v>1.1599999999999999</v>
      </c>
      <c r="L34" s="57">
        <f>K34/(1+J34*(1-$I$22))</f>
        <v>0.75125803903870014</v>
      </c>
      <c r="N34" s="60" t="s">
        <v>99</v>
      </c>
      <c r="O34" s="61" t="s">
        <v>163</v>
      </c>
      <c r="P34" s="62" t="s">
        <v>164</v>
      </c>
      <c r="R34" s="26" t="s">
        <v>167</v>
      </c>
      <c r="S34" s="109">
        <v>332</v>
      </c>
    </row>
    <row r="35" spans="3:20" x14ac:dyDescent="0.2">
      <c r="E35" s="57"/>
      <c r="F35" s="66"/>
      <c r="G35" s="26" t="s">
        <v>191</v>
      </c>
      <c r="H35" s="111">
        <v>5820</v>
      </c>
      <c r="I35" s="111">
        <v>12830</v>
      </c>
      <c r="J35" s="75">
        <f>H35/I35</f>
        <v>0.45362431800467656</v>
      </c>
      <c r="K35" s="113">
        <v>1.36</v>
      </c>
      <c r="L35" s="57">
        <f>K35/(1+J35*(1-$I$22))</f>
        <v>1.0147601046815937</v>
      </c>
      <c r="N35" s="30">
        <v>1</v>
      </c>
      <c r="O35" s="117">
        <v>191</v>
      </c>
      <c r="P35" s="66">
        <f t="shared" ref="P35:P41" si="1">O35/(1+$K$17)^N35</f>
        <v>181.62488660331033</v>
      </c>
      <c r="R35" s="26" t="s">
        <v>166</v>
      </c>
      <c r="S35" s="85">
        <f>S34/AVERAGE(O35:O39)</f>
        <v>2.5577812018489983</v>
      </c>
    </row>
    <row r="36" spans="3:20" x14ac:dyDescent="0.2">
      <c r="E36" s="101"/>
      <c r="F36" s="66"/>
      <c r="G36" s="91" t="s">
        <v>192</v>
      </c>
      <c r="H36" s="91"/>
      <c r="I36" s="91"/>
      <c r="J36" s="91"/>
      <c r="K36" s="91"/>
      <c r="L36" s="92">
        <f>AVERAGE(L32:L35)</f>
        <v>0.88024482227768486</v>
      </c>
      <c r="N36" s="30">
        <f t="shared" ref="N36:N41" si="2">N35+1</f>
        <v>2</v>
      </c>
      <c r="O36" s="117">
        <v>157</v>
      </c>
      <c r="P36" s="66">
        <f t="shared" si="1"/>
        <v>141.96576604494004</v>
      </c>
    </row>
    <row r="37" spans="3:20" x14ac:dyDescent="0.2">
      <c r="E37" s="101"/>
      <c r="G37" s="247" t="s">
        <v>187</v>
      </c>
      <c r="H37" s="248"/>
      <c r="I37" s="248"/>
      <c r="J37" s="248"/>
      <c r="K37" s="248"/>
      <c r="L37" s="249"/>
      <c r="N37" s="30">
        <f t="shared" si="2"/>
        <v>3</v>
      </c>
      <c r="O37" s="117">
        <v>126</v>
      </c>
      <c r="P37" s="66">
        <f t="shared" si="1"/>
        <v>108.34191603336461</v>
      </c>
    </row>
    <row r="38" spans="3:20" x14ac:dyDescent="0.2">
      <c r="E38" s="51"/>
      <c r="F38" s="66"/>
      <c r="G38" s="26" t="s">
        <v>196</v>
      </c>
      <c r="H38" s="111">
        <v>8240</v>
      </c>
      <c r="I38" s="111">
        <v>13370</v>
      </c>
      <c r="J38" s="75">
        <f>H38/I38</f>
        <v>0.61630516080777864</v>
      </c>
      <c r="K38" s="113">
        <v>1</v>
      </c>
      <c r="L38" s="57">
        <f>K38/(1+J38*(1-$I$22))</f>
        <v>0.68388746803069056</v>
      </c>
      <c r="N38" s="30">
        <f t="shared" si="2"/>
        <v>4</v>
      </c>
      <c r="O38" s="117">
        <v>100</v>
      </c>
      <c r="P38" s="66">
        <f t="shared" si="1"/>
        <v>81.765096875032057</v>
      </c>
    </row>
    <row r="39" spans="3:20" x14ac:dyDescent="0.2">
      <c r="C39" s="102"/>
      <c r="D39" s="102"/>
      <c r="E39" s="101"/>
      <c r="G39" s="26" t="s">
        <v>197</v>
      </c>
      <c r="H39" s="111">
        <v>27120</v>
      </c>
      <c r="I39" s="111">
        <v>20080</v>
      </c>
      <c r="J39" s="75">
        <f>H39/I39</f>
        <v>1.3505976095617529</v>
      </c>
      <c r="K39" s="113">
        <v>1.1000000000000001</v>
      </c>
      <c r="L39" s="57">
        <f>K39/(1+J39*(1-$I$22))</f>
        <v>0.5464621474517567</v>
      </c>
      <c r="N39" s="30">
        <f t="shared" si="2"/>
        <v>5</v>
      </c>
      <c r="O39" s="117">
        <v>75</v>
      </c>
      <c r="P39" s="66">
        <f t="shared" si="1"/>
        <v>58.313781864017201</v>
      </c>
    </row>
    <row r="40" spans="3:20" x14ac:dyDescent="0.2">
      <c r="C40" s="102"/>
      <c r="D40" s="102"/>
      <c r="E40" s="51"/>
      <c r="G40" s="26" t="s">
        <v>198</v>
      </c>
      <c r="H40" s="111">
        <v>14950</v>
      </c>
      <c r="I40" s="111">
        <v>19760</v>
      </c>
      <c r="J40" s="75">
        <f>H40/I40</f>
        <v>0.75657894736842102</v>
      </c>
      <c r="K40" s="113">
        <v>0.88</v>
      </c>
      <c r="L40" s="57">
        <f>K40/(1+J40*(1-$I$22))</f>
        <v>0.5614270724029381</v>
      </c>
      <c r="N40" s="30">
        <f t="shared" si="2"/>
        <v>6</v>
      </c>
      <c r="O40" s="86">
        <f>$S$34/2</f>
        <v>166</v>
      </c>
      <c r="P40" s="66">
        <f t="shared" si="1"/>
        <v>122.73262457694531</v>
      </c>
    </row>
    <row r="41" spans="3:20" x14ac:dyDescent="0.2">
      <c r="C41" s="102"/>
      <c r="D41" s="102"/>
      <c r="E41" s="101"/>
      <c r="G41" s="26" t="s">
        <v>199</v>
      </c>
      <c r="H41" s="111">
        <v>423.64</v>
      </c>
      <c r="I41" s="111">
        <v>6410</v>
      </c>
      <c r="J41" s="75">
        <f>H41/I41</f>
        <v>6.6090483619344775E-2</v>
      </c>
      <c r="K41" s="113">
        <v>0.72</v>
      </c>
      <c r="L41" s="57">
        <f>K41/(1+J41*(1-$I$22))</f>
        <v>0.6859966140139393</v>
      </c>
      <c r="N41" s="30">
        <f t="shared" si="2"/>
        <v>7</v>
      </c>
      <c r="O41" s="86">
        <f>$S$34/2</f>
        <v>166</v>
      </c>
      <c r="P41" s="66">
        <f t="shared" si="1"/>
        <v>116.70837183934215</v>
      </c>
    </row>
    <row r="42" spans="3:20" ht="15.75" thickBot="1" x14ac:dyDescent="0.3">
      <c r="C42" s="102"/>
      <c r="D42" s="102"/>
      <c r="E42" s="51"/>
      <c r="G42" s="91" t="s">
        <v>193</v>
      </c>
      <c r="H42" s="91"/>
      <c r="I42" s="91"/>
      <c r="J42" s="91"/>
      <c r="K42" s="91"/>
      <c r="L42" s="92">
        <f>AVERAGE(L38:L41)</f>
        <v>0.61944332547483105</v>
      </c>
      <c r="N42" s="58" t="s">
        <v>165</v>
      </c>
      <c r="O42" s="58"/>
      <c r="P42" s="63">
        <f>SUM(P35:P41)</f>
        <v>811.45244383695172</v>
      </c>
    </row>
    <row r="43" spans="3:20" x14ac:dyDescent="0.2">
      <c r="C43" s="102"/>
      <c r="D43" s="102"/>
      <c r="E43" s="51"/>
    </row>
    <row r="44" spans="3:20" ht="15" x14ac:dyDescent="0.25">
      <c r="C44" s="102"/>
      <c r="D44" s="102"/>
      <c r="E44" s="51"/>
      <c r="G44" s="64" t="s">
        <v>200</v>
      </c>
    </row>
    <row r="45" spans="3:20" ht="15" x14ac:dyDescent="0.25">
      <c r="C45" s="102"/>
      <c r="D45" s="102"/>
      <c r="E45" s="51"/>
      <c r="N45" s="64" t="s">
        <v>217</v>
      </c>
    </row>
    <row r="46" spans="3:20" ht="15" x14ac:dyDescent="0.25">
      <c r="C46" s="102"/>
      <c r="D46" s="102"/>
      <c r="E46" s="51"/>
      <c r="G46" s="95" t="s">
        <v>203</v>
      </c>
      <c r="H46" s="96" t="s">
        <v>111</v>
      </c>
      <c r="I46" s="96" t="s">
        <v>204</v>
      </c>
      <c r="J46" s="245" t="s">
        <v>205</v>
      </c>
      <c r="K46" s="246"/>
    </row>
    <row r="47" spans="3:20" ht="15" x14ac:dyDescent="0.25">
      <c r="C47" s="102"/>
      <c r="D47" s="102"/>
      <c r="G47" s="26" t="s">
        <v>182</v>
      </c>
      <c r="H47" s="111">
        <v>4249</v>
      </c>
      <c r="I47" s="82">
        <f>H47/$H$50</f>
        <v>0.1701246806909088</v>
      </c>
      <c r="J47" s="108">
        <f>L30</f>
        <v>0.42901991695101588</v>
      </c>
      <c r="N47" s="60" t="s">
        <v>218</v>
      </c>
      <c r="O47" s="61" t="s">
        <v>111</v>
      </c>
      <c r="P47" s="61" t="s">
        <v>204</v>
      </c>
      <c r="Q47" s="61" t="s">
        <v>224</v>
      </c>
      <c r="R47" s="61" t="s">
        <v>226</v>
      </c>
      <c r="S47" s="61" t="s">
        <v>225</v>
      </c>
      <c r="T47" s="62" t="s">
        <v>227</v>
      </c>
    </row>
    <row r="48" spans="3:20" x14ac:dyDescent="0.2">
      <c r="C48" s="102"/>
      <c r="D48" s="102"/>
      <c r="G48" s="26" t="s">
        <v>201</v>
      </c>
      <c r="H48" s="111">
        <v>20091</v>
      </c>
      <c r="I48" s="82">
        <f>H48/$H$50</f>
        <v>0.8044186772796067</v>
      </c>
      <c r="J48" s="108">
        <f>L36</f>
        <v>0.88024482227768486</v>
      </c>
      <c r="N48" s="26" t="s">
        <v>219</v>
      </c>
      <c r="O48" s="109">
        <v>17122</v>
      </c>
      <c r="P48" s="82">
        <f>O48/$O$53</f>
        <v>0.62379772661031774</v>
      </c>
      <c r="Q48" s="105">
        <v>4.3299999999999998E-2</v>
      </c>
      <c r="R48" s="82">
        <f>$P48*Q48</f>
        <v>2.7010441562226758E-2</v>
      </c>
      <c r="S48" s="105">
        <v>0</v>
      </c>
      <c r="T48" s="82">
        <f>$P48*S48</f>
        <v>0</v>
      </c>
    </row>
    <row r="49" spans="3:20" x14ac:dyDescent="0.2">
      <c r="C49" s="102"/>
      <c r="D49" s="102"/>
      <c r="G49" s="26" t="s">
        <v>202</v>
      </c>
      <c r="H49" s="111">
        <v>635.79999999999995</v>
      </c>
      <c r="I49" s="82">
        <f>H49/$H$50</f>
        <v>2.5456642029484541E-2</v>
      </c>
      <c r="J49" s="108">
        <f>L42</f>
        <v>0.61944332547483105</v>
      </c>
      <c r="N49" s="26" t="s">
        <v>220</v>
      </c>
      <c r="O49" s="109">
        <v>1083</v>
      </c>
      <c r="P49" s="82">
        <f>O49/$O$53</f>
        <v>3.9456426697755759E-2</v>
      </c>
      <c r="Q49" s="105">
        <v>4.3299999999999998E-2</v>
      </c>
      <c r="R49" s="82">
        <f t="shared" ref="R49:T52" si="3">$P49*Q49</f>
        <v>1.7084632760128243E-3</v>
      </c>
      <c r="S49" s="105">
        <v>0</v>
      </c>
      <c r="T49" s="82">
        <f t="shared" si="3"/>
        <v>0</v>
      </c>
    </row>
    <row r="50" spans="3:20" ht="15.75" thickBot="1" x14ac:dyDescent="0.3">
      <c r="C50" s="102"/>
      <c r="D50" s="102"/>
      <c r="G50" s="58" t="s">
        <v>171</v>
      </c>
      <c r="H50" s="88">
        <f>SUM(H47:H49)</f>
        <v>24975.8</v>
      </c>
      <c r="I50" s="94">
        <f>SUM(I47:I49)</f>
        <v>1</v>
      </c>
      <c r="J50" s="97">
        <f>SUMPRODUCT(I47:I49,J47:J49)</f>
        <v>0.79684119899433581</v>
      </c>
      <c r="K50" s="97"/>
      <c r="N50" s="26" t="s">
        <v>221</v>
      </c>
      <c r="O50" s="109">
        <v>1461</v>
      </c>
      <c r="P50" s="82">
        <f>O50/$O$53</f>
        <v>5.3227921888662197E-2</v>
      </c>
      <c r="Q50" s="105">
        <v>9.1499999999999998E-2</v>
      </c>
      <c r="R50" s="82">
        <f t="shared" si="3"/>
        <v>4.8703548528125909E-3</v>
      </c>
      <c r="S50" s="105">
        <v>4.82E-2</v>
      </c>
      <c r="T50" s="82">
        <f t="shared" si="3"/>
        <v>2.565585835033518E-3</v>
      </c>
    </row>
    <row r="51" spans="3:20" x14ac:dyDescent="0.2">
      <c r="C51" s="102"/>
      <c r="D51" s="102"/>
      <c r="N51" s="26" t="s">
        <v>222</v>
      </c>
      <c r="O51" s="109">
        <v>5078</v>
      </c>
      <c r="P51" s="82">
        <f>O51/$O$53</f>
        <v>0.18500437190323521</v>
      </c>
      <c r="Q51" s="105">
        <v>5.45E-2</v>
      </c>
      <c r="R51" s="82">
        <f t="shared" si="3"/>
        <v>1.0082738268726318E-2</v>
      </c>
      <c r="S51" s="105">
        <v>1.12E-2</v>
      </c>
      <c r="T51" s="82">
        <f t="shared" si="3"/>
        <v>2.0720489653162344E-3</v>
      </c>
    </row>
    <row r="52" spans="3:20" ht="15" x14ac:dyDescent="0.25">
      <c r="C52" s="102"/>
      <c r="D52" s="102"/>
      <c r="G52" s="64" t="s">
        <v>206</v>
      </c>
      <c r="N52" s="26" t="s">
        <v>223</v>
      </c>
      <c r="O52" s="109">
        <v>2704</v>
      </c>
      <c r="P52" s="82">
        <f>O52/$O$53</f>
        <v>9.8513552900029153E-2</v>
      </c>
      <c r="Q52" s="105">
        <v>5.8700000000000002E-2</v>
      </c>
      <c r="R52" s="82">
        <f t="shared" si="3"/>
        <v>5.7827455552317119E-3</v>
      </c>
      <c r="S52" s="105">
        <v>1.54E-2</v>
      </c>
      <c r="T52" s="82">
        <f t="shared" si="3"/>
        <v>1.517108714660449E-3</v>
      </c>
    </row>
    <row r="53" spans="3:20" ht="15.75" thickBot="1" x14ac:dyDescent="0.3">
      <c r="C53" s="102"/>
      <c r="D53" s="102"/>
      <c r="G53" s="26" t="s">
        <v>176</v>
      </c>
      <c r="I53" s="109">
        <v>21830</v>
      </c>
      <c r="N53" s="58" t="s">
        <v>171</v>
      </c>
      <c r="O53" s="132">
        <f>SUM(O48:O52)</f>
        <v>27448</v>
      </c>
      <c r="P53" s="94">
        <f>SUM(P48:P52)</f>
        <v>1</v>
      </c>
      <c r="Q53" s="59"/>
      <c r="R53" s="133">
        <f>SUM(R48:R52)</f>
        <v>4.9454743515010204E-2</v>
      </c>
      <c r="S53" s="59"/>
      <c r="T53" s="133">
        <f>SUM(T48:T52)</f>
        <v>6.1547435150102019E-3</v>
      </c>
    </row>
    <row r="54" spans="3:20" x14ac:dyDescent="0.2">
      <c r="C54" s="102"/>
      <c r="D54" s="102"/>
      <c r="G54" s="26" t="s">
        <v>207</v>
      </c>
      <c r="I54" s="109">
        <v>19770</v>
      </c>
    </row>
    <row r="55" spans="3:20" x14ac:dyDescent="0.2">
      <c r="C55" s="102"/>
      <c r="D55" s="102"/>
      <c r="G55" s="26" t="s">
        <v>178</v>
      </c>
      <c r="I55" s="57">
        <f>I53/I54</f>
        <v>1.1041982802225594</v>
      </c>
    </row>
    <row r="56" spans="3:20" ht="15" x14ac:dyDescent="0.25">
      <c r="C56" s="102"/>
      <c r="D56" s="102"/>
      <c r="G56" s="52" t="s">
        <v>208</v>
      </c>
      <c r="H56" s="53"/>
      <c r="I56" s="98">
        <f>J50*(1+I55*(1-I22))</f>
        <v>1.4567442101493566</v>
      </c>
    </row>
    <row r="57" spans="3:20" x14ac:dyDescent="0.2">
      <c r="C57" s="102"/>
      <c r="D57" s="102"/>
    </row>
    <row r="58" spans="3:20" x14ac:dyDescent="0.2">
      <c r="C58" s="102"/>
      <c r="D58" s="102"/>
    </row>
    <row r="59" spans="3:20" x14ac:dyDescent="0.2">
      <c r="C59" s="102"/>
      <c r="D59" s="102"/>
    </row>
    <row r="60" spans="3:20" x14ac:dyDescent="0.2">
      <c r="C60" s="102"/>
      <c r="D60" s="102"/>
    </row>
    <row r="61" spans="3:20" x14ac:dyDescent="0.2">
      <c r="C61" s="102"/>
      <c r="D61" s="102"/>
    </row>
    <row r="62" spans="3:20" x14ac:dyDescent="0.2">
      <c r="C62" s="102"/>
      <c r="D62" s="102"/>
    </row>
    <row r="63" spans="3:20" x14ac:dyDescent="0.2">
      <c r="C63" s="102"/>
      <c r="D63" s="102"/>
    </row>
    <row r="64" spans="3:20" x14ac:dyDescent="0.2">
      <c r="C64" s="102"/>
      <c r="D64" s="102"/>
    </row>
    <row r="65" spans="3:4" x14ac:dyDescent="0.2">
      <c r="C65" s="102"/>
      <c r="D65" s="102"/>
    </row>
    <row r="66" spans="3:4" x14ac:dyDescent="0.2">
      <c r="C66" s="102"/>
      <c r="D66" s="102"/>
    </row>
    <row r="67" spans="3:4" x14ac:dyDescent="0.2">
      <c r="C67" s="102"/>
      <c r="D67" s="102"/>
    </row>
    <row r="68" spans="3:4" x14ac:dyDescent="0.2">
      <c r="C68" s="102"/>
      <c r="D68" s="102"/>
    </row>
    <row r="69" spans="3:4" x14ac:dyDescent="0.2">
      <c r="C69" s="102"/>
      <c r="D69" s="102"/>
    </row>
    <row r="70" spans="3:4" x14ac:dyDescent="0.2">
      <c r="C70" s="102"/>
      <c r="D70" s="102"/>
    </row>
    <row r="71" spans="3:4" x14ac:dyDescent="0.2">
      <c r="C71" s="102"/>
      <c r="D71" s="102"/>
    </row>
    <row r="72" spans="3:4" x14ac:dyDescent="0.2">
      <c r="C72" s="102"/>
      <c r="D72" s="102"/>
    </row>
    <row r="73" spans="3:4" x14ac:dyDescent="0.2">
      <c r="C73" s="102"/>
      <c r="D73" s="102"/>
    </row>
    <row r="74" spans="3:4" x14ac:dyDescent="0.2">
      <c r="C74" s="102"/>
      <c r="D74" s="102"/>
    </row>
    <row r="75" spans="3:4" x14ac:dyDescent="0.2">
      <c r="C75" s="102"/>
      <c r="D75" s="102"/>
    </row>
    <row r="76" spans="3:4" x14ac:dyDescent="0.2">
      <c r="C76" s="102"/>
      <c r="D76" s="102"/>
    </row>
    <row r="77" spans="3:4" x14ac:dyDescent="0.2">
      <c r="C77" s="102"/>
      <c r="D77" s="102"/>
    </row>
    <row r="78" spans="3:4" x14ac:dyDescent="0.2">
      <c r="C78" s="102"/>
      <c r="D78" s="102"/>
    </row>
    <row r="79" spans="3:4" x14ac:dyDescent="0.2">
      <c r="C79" s="102"/>
      <c r="D79" s="102"/>
    </row>
    <row r="80" spans="3:4" x14ac:dyDescent="0.2">
      <c r="C80" s="102"/>
      <c r="D80" s="102"/>
    </row>
    <row r="81" spans="3:4" x14ac:dyDescent="0.2">
      <c r="C81" s="102"/>
      <c r="D81" s="102"/>
    </row>
    <row r="82" spans="3:4" x14ac:dyDescent="0.2">
      <c r="C82" s="102"/>
      <c r="D82" s="102"/>
    </row>
    <row r="83" spans="3:4" x14ac:dyDescent="0.2">
      <c r="C83" s="102"/>
      <c r="D83" s="102"/>
    </row>
    <row r="84" spans="3:4" x14ac:dyDescent="0.2">
      <c r="C84" s="102"/>
      <c r="D84" s="102"/>
    </row>
    <row r="85" spans="3:4" x14ac:dyDescent="0.2">
      <c r="C85" s="102"/>
      <c r="D85" s="102"/>
    </row>
    <row r="86" spans="3:4" x14ac:dyDescent="0.2">
      <c r="C86" s="102"/>
      <c r="D86" s="102"/>
    </row>
    <row r="87" spans="3:4" x14ac:dyDescent="0.2">
      <c r="C87" s="102"/>
      <c r="D87" s="102"/>
    </row>
    <row r="88" spans="3:4" x14ac:dyDescent="0.2">
      <c r="C88" s="102"/>
      <c r="D88" s="102"/>
    </row>
    <row r="89" spans="3:4" x14ac:dyDescent="0.2">
      <c r="C89" s="102"/>
      <c r="D89" s="102"/>
    </row>
    <row r="90" spans="3:4" x14ac:dyDescent="0.2">
      <c r="C90" s="102"/>
      <c r="D90" s="102"/>
    </row>
    <row r="91" spans="3:4" x14ac:dyDescent="0.2">
      <c r="C91" s="102"/>
      <c r="D91" s="102"/>
    </row>
    <row r="92" spans="3:4" x14ac:dyDescent="0.2">
      <c r="C92" s="102"/>
      <c r="D92" s="102"/>
    </row>
    <row r="93" spans="3:4" x14ac:dyDescent="0.2">
      <c r="C93" s="102"/>
      <c r="D93" s="102"/>
    </row>
    <row r="94" spans="3:4" x14ac:dyDescent="0.2">
      <c r="C94" s="102"/>
      <c r="D94" s="102"/>
    </row>
    <row r="95" spans="3:4" x14ac:dyDescent="0.2">
      <c r="C95" s="102"/>
      <c r="D95" s="102"/>
    </row>
    <row r="96" spans="3:4" x14ac:dyDescent="0.2">
      <c r="C96" s="102"/>
      <c r="D96" s="102"/>
    </row>
    <row r="97" spans="3:4" x14ac:dyDescent="0.2">
      <c r="C97" s="102"/>
      <c r="D97" s="102"/>
    </row>
    <row r="98" spans="3:4" x14ac:dyDescent="0.2">
      <c r="C98" s="102"/>
      <c r="D98" s="102"/>
    </row>
    <row r="99" spans="3:4" x14ac:dyDescent="0.2">
      <c r="C99" s="102"/>
      <c r="D99" s="102"/>
    </row>
    <row r="100" spans="3:4" x14ac:dyDescent="0.2">
      <c r="C100" s="102"/>
      <c r="D100" s="102"/>
    </row>
    <row r="101" spans="3:4" x14ac:dyDescent="0.2">
      <c r="C101" s="102"/>
      <c r="D101" s="102"/>
    </row>
    <row r="102" spans="3:4" x14ac:dyDescent="0.2">
      <c r="C102" s="102"/>
      <c r="D102" s="102"/>
    </row>
    <row r="103" spans="3:4" x14ac:dyDescent="0.2">
      <c r="C103" s="102"/>
      <c r="D103" s="102"/>
    </row>
    <row r="104" spans="3:4" x14ac:dyDescent="0.2">
      <c r="C104" s="102"/>
      <c r="D104" s="102"/>
    </row>
    <row r="105" spans="3:4" x14ac:dyDescent="0.2">
      <c r="C105" s="102"/>
      <c r="D105" s="102"/>
    </row>
    <row r="106" spans="3:4" x14ac:dyDescent="0.2">
      <c r="C106" s="102"/>
      <c r="D106" s="102"/>
    </row>
    <row r="107" spans="3:4" x14ac:dyDescent="0.2">
      <c r="C107" s="102"/>
      <c r="D107" s="102"/>
    </row>
    <row r="108" spans="3:4" x14ac:dyDescent="0.2">
      <c r="C108" s="102"/>
      <c r="D108" s="102"/>
    </row>
    <row r="109" spans="3:4" x14ac:dyDescent="0.2">
      <c r="C109" s="102"/>
      <c r="D109" s="102"/>
    </row>
    <row r="110" spans="3:4" x14ac:dyDescent="0.2">
      <c r="C110" s="102"/>
      <c r="D110" s="102"/>
    </row>
    <row r="111" spans="3:4" x14ac:dyDescent="0.2">
      <c r="C111" s="102"/>
      <c r="D111" s="102"/>
    </row>
    <row r="112" spans="3:4" x14ac:dyDescent="0.2">
      <c r="C112" s="102"/>
      <c r="D112" s="102"/>
    </row>
    <row r="113" spans="3:4" x14ac:dyDescent="0.2">
      <c r="C113" s="102"/>
      <c r="D113" s="102"/>
    </row>
    <row r="114" spans="3:4" x14ac:dyDescent="0.2">
      <c r="C114" s="102"/>
      <c r="D114" s="102"/>
    </row>
    <row r="115" spans="3:4" x14ac:dyDescent="0.2">
      <c r="C115" s="102"/>
      <c r="D115" s="102"/>
    </row>
    <row r="116" spans="3:4" x14ac:dyDescent="0.2">
      <c r="C116" s="102"/>
      <c r="D116" s="102"/>
    </row>
    <row r="117" spans="3:4" x14ac:dyDescent="0.2">
      <c r="C117" s="102"/>
      <c r="D117" s="102"/>
    </row>
    <row r="118" spans="3:4" x14ac:dyDescent="0.2">
      <c r="C118" s="102"/>
      <c r="D118" s="102"/>
    </row>
    <row r="119" spans="3:4" x14ac:dyDescent="0.2">
      <c r="C119" s="102"/>
      <c r="D119" s="102"/>
    </row>
    <row r="120" spans="3:4" x14ac:dyDescent="0.2">
      <c r="C120" s="102"/>
      <c r="D120" s="102"/>
    </row>
    <row r="121" spans="3:4" x14ac:dyDescent="0.2">
      <c r="C121" s="102"/>
      <c r="D121" s="102"/>
    </row>
    <row r="122" spans="3:4" x14ac:dyDescent="0.2">
      <c r="C122" s="102"/>
      <c r="D122" s="102"/>
    </row>
    <row r="123" spans="3:4" x14ac:dyDescent="0.2">
      <c r="C123" s="102"/>
      <c r="D123" s="102"/>
    </row>
    <row r="124" spans="3:4" x14ac:dyDescent="0.2">
      <c r="C124" s="102"/>
      <c r="D124" s="102"/>
    </row>
    <row r="125" spans="3:4" x14ac:dyDescent="0.2">
      <c r="C125" s="102"/>
      <c r="D125" s="102"/>
    </row>
    <row r="126" spans="3:4" x14ac:dyDescent="0.2">
      <c r="C126" s="102"/>
      <c r="D126" s="102"/>
    </row>
    <row r="127" spans="3:4" x14ac:dyDescent="0.2">
      <c r="C127" s="102"/>
      <c r="D127" s="102"/>
    </row>
    <row r="128" spans="3:4" x14ac:dyDescent="0.2">
      <c r="C128" s="102"/>
      <c r="D128" s="102"/>
    </row>
    <row r="129" spans="3:4" x14ac:dyDescent="0.2">
      <c r="C129" s="102"/>
      <c r="D129" s="102"/>
    </row>
    <row r="130" spans="3:4" x14ac:dyDescent="0.2">
      <c r="C130" s="102"/>
      <c r="D130" s="102"/>
    </row>
    <row r="131" spans="3:4" x14ac:dyDescent="0.2">
      <c r="C131" s="102"/>
      <c r="D131" s="102"/>
    </row>
    <row r="132" spans="3:4" x14ac:dyDescent="0.2">
      <c r="C132" s="102"/>
      <c r="D132" s="102"/>
    </row>
    <row r="133" spans="3:4" x14ac:dyDescent="0.2">
      <c r="C133" s="102"/>
      <c r="D133" s="102"/>
    </row>
    <row r="134" spans="3:4" x14ac:dyDescent="0.2">
      <c r="C134" s="102"/>
      <c r="D134" s="102"/>
    </row>
    <row r="135" spans="3:4" x14ac:dyDescent="0.2">
      <c r="C135" s="102"/>
      <c r="D135" s="102"/>
    </row>
    <row r="136" spans="3:4" x14ac:dyDescent="0.2">
      <c r="C136" s="102"/>
      <c r="D136" s="102"/>
    </row>
    <row r="137" spans="3:4" x14ac:dyDescent="0.2">
      <c r="C137" s="102"/>
      <c r="D137" s="102"/>
    </row>
    <row r="138" spans="3:4" x14ac:dyDescent="0.2">
      <c r="C138" s="102"/>
      <c r="D138" s="102"/>
    </row>
    <row r="139" spans="3:4" x14ac:dyDescent="0.2">
      <c r="C139" s="102"/>
      <c r="D139" s="102"/>
    </row>
    <row r="140" spans="3:4" x14ac:dyDescent="0.2">
      <c r="C140" s="102"/>
      <c r="D140" s="102"/>
    </row>
    <row r="141" spans="3:4" x14ac:dyDescent="0.2">
      <c r="C141" s="102"/>
      <c r="D141" s="102"/>
    </row>
    <row r="142" spans="3:4" x14ac:dyDescent="0.2">
      <c r="C142" s="102"/>
      <c r="D142" s="102"/>
    </row>
    <row r="143" spans="3:4" x14ac:dyDescent="0.2">
      <c r="C143" s="102"/>
      <c r="D143" s="102"/>
    </row>
    <row r="144" spans="3:4" x14ac:dyDescent="0.2">
      <c r="C144" s="102"/>
      <c r="D144" s="102"/>
    </row>
    <row r="145" spans="3:4" x14ac:dyDescent="0.2">
      <c r="C145" s="102"/>
      <c r="D145" s="102"/>
    </row>
    <row r="146" spans="3:4" x14ac:dyDescent="0.2">
      <c r="C146" s="102"/>
      <c r="D146" s="102"/>
    </row>
    <row r="147" spans="3:4" x14ac:dyDescent="0.2">
      <c r="C147" s="102"/>
      <c r="D147" s="102"/>
    </row>
    <row r="148" spans="3:4" x14ac:dyDescent="0.2">
      <c r="C148" s="102"/>
      <c r="D148" s="102"/>
    </row>
    <row r="149" spans="3:4" x14ac:dyDescent="0.2">
      <c r="C149" s="102"/>
      <c r="D149" s="102"/>
    </row>
    <row r="150" spans="3:4" x14ac:dyDescent="0.2">
      <c r="C150" s="102"/>
      <c r="D150" s="102"/>
    </row>
    <row r="151" spans="3:4" x14ac:dyDescent="0.2">
      <c r="C151" s="102"/>
      <c r="D151" s="102"/>
    </row>
    <row r="152" spans="3:4" x14ac:dyDescent="0.2">
      <c r="C152" s="102"/>
      <c r="D152" s="102"/>
    </row>
    <row r="153" spans="3:4" x14ac:dyDescent="0.2">
      <c r="C153" s="102"/>
      <c r="D153" s="102"/>
    </row>
    <row r="154" spans="3:4" x14ac:dyDescent="0.2">
      <c r="C154" s="102"/>
      <c r="D154" s="102"/>
    </row>
    <row r="155" spans="3:4" x14ac:dyDescent="0.2">
      <c r="C155" s="102"/>
      <c r="D155" s="102"/>
    </row>
    <row r="156" spans="3:4" x14ac:dyDescent="0.2">
      <c r="C156" s="102"/>
      <c r="D156" s="102"/>
    </row>
    <row r="157" spans="3:4" x14ac:dyDescent="0.2">
      <c r="C157" s="102"/>
      <c r="D157" s="102"/>
    </row>
    <row r="158" spans="3:4" x14ac:dyDescent="0.2">
      <c r="C158" s="102"/>
      <c r="D158" s="102"/>
    </row>
    <row r="159" spans="3:4" x14ac:dyDescent="0.2">
      <c r="C159" s="102"/>
      <c r="D159" s="102"/>
    </row>
    <row r="160" spans="3:4" x14ac:dyDescent="0.2">
      <c r="C160" s="102"/>
      <c r="D160" s="102"/>
    </row>
    <row r="161" spans="3:4" x14ac:dyDescent="0.2">
      <c r="C161" s="102"/>
      <c r="D161" s="102"/>
    </row>
    <row r="162" spans="3:4" x14ac:dyDescent="0.2">
      <c r="C162" s="102"/>
      <c r="D162" s="102"/>
    </row>
    <row r="163" spans="3:4" x14ac:dyDescent="0.2">
      <c r="C163" s="102"/>
      <c r="D163" s="102"/>
    </row>
    <row r="164" spans="3:4" x14ac:dyDescent="0.2">
      <c r="C164" s="102"/>
      <c r="D164" s="102"/>
    </row>
    <row r="165" spans="3:4" x14ac:dyDescent="0.2">
      <c r="C165" s="102"/>
      <c r="D165" s="102"/>
    </row>
    <row r="166" spans="3:4" x14ac:dyDescent="0.2">
      <c r="C166" s="102"/>
      <c r="D166" s="102"/>
    </row>
    <row r="167" spans="3:4" x14ac:dyDescent="0.2">
      <c r="C167" s="102"/>
      <c r="D167" s="102"/>
    </row>
    <row r="168" spans="3:4" x14ac:dyDescent="0.2">
      <c r="C168" s="102"/>
      <c r="D168" s="102"/>
    </row>
    <row r="169" spans="3:4" x14ac:dyDescent="0.2">
      <c r="C169" s="102"/>
      <c r="D169" s="102"/>
    </row>
    <row r="170" spans="3:4" x14ac:dyDescent="0.2">
      <c r="C170" s="102"/>
      <c r="D170" s="102"/>
    </row>
    <row r="171" spans="3:4" x14ac:dyDescent="0.2">
      <c r="C171" s="102"/>
      <c r="D171" s="102"/>
    </row>
    <row r="172" spans="3:4" x14ac:dyDescent="0.2">
      <c r="C172" s="102"/>
      <c r="D172" s="102"/>
    </row>
    <row r="173" spans="3:4" x14ac:dyDescent="0.2">
      <c r="C173" s="102"/>
      <c r="D173" s="102"/>
    </row>
    <row r="174" spans="3:4" x14ac:dyDescent="0.2">
      <c r="C174" s="102"/>
      <c r="D174" s="102"/>
    </row>
    <row r="175" spans="3:4" x14ac:dyDescent="0.2">
      <c r="C175" s="102"/>
      <c r="D175" s="102"/>
    </row>
    <row r="176" spans="3:4" x14ac:dyDescent="0.2">
      <c r="C176" s="102"/>
      <c r="D176" s="102"/>
    </row>
    <row r="177" spans="3:4" x14ac:dyDescent="0.2">
      <c r="C177" s="102"/>
      <c r="D177" s="102"/>
    </row>
    <row r="178" spans="3:4" x14ac:dyDescent="0.2">
      <c r="C178" s="102"/>
      <c r="D178" s="102"/>
    </row>
    <row r="179" spans="3:4" x14ac:dyDescent="0.2">
      <c r="C179" s="102"/>
      <c r="D179" s="102"/>
    </row>
    <row r="180" spans="3:4" x14ac:dyDescent="0.2">
      <c r="C180" s="102"/>
      <c r="D180" s="102"/>
    </row>
    <row r="181" spans="3:4" x14ac:dyDescent="0.2">
      <c r="C181" s="102"/>
      <c r="D181" s="102"/>
    </row>
    <row r="182" spans="3:4" x14ac:dyDescent="0.2">
      <c r="C182" s="102"/>
      <c r="D182" s="102"/>
    </row>
    <row r="183" spans="3:4" x14ac:dyDescent="0.2">
      <c r="C183" s="102"/>
      <c r="D183" s="102"/>
    </row>
    <row r="184" spans="3:4" x14ac:dyDescent="0.2">
      <c r="C184" s="102"/>
      <c r="D184" s="102"/>
    </row>
    <row r="185" spans="3:4" x14ac:dyDescent="0.2">
      <c r="C185" s="102"/>
      <c r="D185" s="102"/>
    </row>
    <row r="186" spans="3:4" x14ac:dyDescent="0.2">
      <c r="C186" s="102"/>
      <c r="D186" s="102"/>
    </row>
    <row r="187" spans="3:4" x14ac:dyDescent="0.2">
      <c r="C187" s="102"/>
      <c r="D187" s="102"/>
    </row>
    <row r="188" spans="3:4" x14ac:dyDescent="0.2">
      <c r="C188" s="102"/>
      <c r="D188" s="102"/>
    </row>
    <row r="189" spans="3:4" x14ac:dyDescent="0.2">
      <c r="C189" s="102"/>
      <c r="D189" s="102"/>
    </row>
    <row r="190" spans="3:4" x14ac:dyDescent="0.2">
      <c r="C190" s="102"/>
      <c r="D190" s="102"/>
    </row>
    <row r="191" spans="3:4" x14ac:dyDescent="0.2">
      <c r="C191" s="102"/>
      <c r="D191" s="102"/>
    </row>
    <row r="192" spans="3:4" x14ac:dyDescent="0.2">
      <c r="C192" s="102"/>
      <c r="D192" s="102"/>
    </row>
    <row r="193" spans="3:4" x14ac:dyDescent="0.2">
      <c r="C193" s="102"/>
      <c r="D193" s="102"/>
    </row>
    <row r="194" spans="3:4" x14ac:dyDescent="0.2">
      <c r="C194" s="102"/>
      <c r="D194" s="102"/>
    </row>
    <row r="195" spans="3:4" x14ac:dyDescent="0.2">
      <c r="C195" s="102"/>
      <c r="D195" s="102"/>
    </row>
    <row r="196" spans="3:4" x14ac:dyDescent="0.2">
      <c r="C196" s="102"/>
      <c r="D196" s="102"/>
    </row>
    <row r="197" spans="3:4" x14ac:dyDescent="0.2">
      <c r="C197" s="102"/>
      <c r="D197" s="102"/>
    </row>
    <row r="198" spans="3:4" x14ac:dyDescent="0.2">
      <c r="C198" s="102"/>
      <c r="D198" s="102"/>
    </row>
    <row r="199" spans="3:4" x14ac:dyDescent="0.2">
      <c r="C199" s="102"/>
      <c r="D199" s="102"/>
    </row>
    <row r="200" spans="3:4" x14ac:dyDescent="0.2">
      <c r="C200" s="102"/>
      <c r="D200" s="102"/>
    </row>
    <row r="201" spans="3:4" x14ac:dyDescent="0.2">
      <c r="C201" s="102"/>
      <c r="D201" s="102"/>
    </row>
    <row r="202" spans="3:4" x14ac:dyDescent="0.2">
      <c r="C202" s="102"/>
      <c r="D202" s="102"/>
    </row>
    <row r="203" spans="3:4" x14ac:dyDescent="0.2">
      <c r="C203" s="102"/>
      <c r="D203" s="102"/>
    </row>
    <row r="204" spans="3:4" x14ac:dyDescent="0.2">
      <c r="C204" s="102"/>
      <c r="D204" s="102"/>
    </row>
    <row r="205" spans="3:4" x14ac:dyDescent="0.2">
      <c r="C205" s="102"/>
      <c r="D205" s="102"/>
    </row>
    <row r="206" spans="3:4" x14ac:dyDescent="0.2">
      <c r="C206" s="102"/>
      <c r="D206" s="102"/>
    </row>
    <row r="207" spans="3:4" x14ac:dyDescent="0.2">
      <c r="C207" s="102"/>
      <c r="D207" s="102"/>
    </row>
    <row r="208" spans="3:4" x14ac:dyDescent="0.2">
      <c r="C208" s="102"/>
      <c r="D208" s="102"/>
    </row>
    <row r="209" spans="3:4" x14ac:dyDescent="0.2">
      <c r="C209" s="102"/>
      <c r="D209" s="102"/>
    </row>
    <row r="210" spans="3:4" x14ac:dyDescent="0.2">
      <c r="C210" s="102"/>
      <c r="D210" s="102"/>
    </row>
    <row r="211" spans="3:4" x14ac:dyDescent="0.2">
      <c r="C211" s="102"/>
      <c r="D211" s="102"/>
    </row>
    <row r="212" spans="3:4" x14ac:dyDescent="0.2">
      <c r="C212" s="102"/>
      <c r="D212" s="102"/>
    </row>
    <row r="213" spans="3:4" x14ac:dyDescent="0.2">
      <c r="C213" s="102"/>
      <c r="D213" s="102"/>
    </row>
    <row r="214" spans="3:4" x14ac:dyDescent="0.2">
      <c r="C214" s="102"/>
      <c r="D214" s="102"/>
    </row>
    <row r="215" spans="3:4" x14ac:dyDescent="0.2">
      <c r="C215" s="102"/>
      <c r="D215" s="102"/>
    </row>
    <row r="216" spans="3:4" x14ac:dyDescent="0.2">
      <c r="C216" s="102"/>
      <c r="D216" s="102"/>
    </row>
    <row r="217" spans="3:4" x14ac:dyDescent="0.2">
      <c r="C217" s="102"/>
      <c r="D217" s="102"/>
    </row>
    <row r="218" spans="3:4" x14ac:dyDescent="0.2">
      <c r="C218" s="102"/>
      <c r="D218" s="102"/>
    </row>
    <row r="219" spans="3:4" x14ac:dyDescent="0.2">
      <c r="C219" s="102"/>
      <c r="D219" s="102"/>
    </row>
    <row r="220" spans="3:4" x14ac:dyDescent="0.2">
      <c r="C220" s="102"/>
      <c r="D220" s="102"/>
    </row>
    <row r="221" spans="3:4" x14ac:dyDescent="0.2">
      <c r="C221" s="102"/>
      <c r="D221" s="102"/>
    </row>
    <row r="222" spans="3:4" x14ac:dyDescent="0.2">
      <c r="C222" s="102"/>
      <c r="D222" s="102"/>
    </row>
    <row r="223" spans="3:4" x14ac:dyDescent="0.2">
      <c r="C223" s="102"/>
      <c r="D223" s="102"/>
    </row>
    <row r="224" spans="3:4" x14ac:dyDescent="0.2">
      <c r="C224" s="102"/>
      <c r="D224" s="102"/>
    </row>
    <row r="225" spans="3:4" x14ac:dyDescent="0.2">
      <c r="C225" s="102"/>
      <c r="D225" s="102"/>
    </row>
    <row r="226" spans="3:4" x14ac:dyDescent="0.2">
      <c r="C226" s="102"/>
      <c r="D226" s="102"/>
    </row>
    <row r="227" spans="3:4" x14ac:dyDescent="0.2">
      <c r="C227" s="102"/>
      <c r="D227" s="102"/>
    </row>
    <row r="228" spans="3:4" x14ac:dyDescent="0.2">
      <c r="C228" s="102"/>
      <c r="D228" s="102"/>
    </row>
    <row r="229" spans="3:4" x14ac:dyDescent="0.2">
      <c r="C229" s="102"/>
      <c r="D229" s="102"/>
    </row>
    <row r="230" spans="3:4" x14ac:dyDescent="0.2">
      <c r="C230" s="102"/>
      <c r="D230" s="102"/>
    </row>
    <row r="231" spans="3:4" x14ac:dyDescent="0.2">
      <c r="C231" s="102"/>
      <c r="D231" s="102"/>
    </row>
    <row r="232" spans="3:4" x14ac:dyDescent="0.2">
      <c r="C232" s="102"/>
      <c r="D232" s="102"/>
    </row>
    <row r="233" spans="3:4" x14ac:dyDescent="0.2">
      <c r="C233" s="102"/>
      <c r="D233" s="102"/>
    </row>
    <row r="234" spans="3:4" x14ac:dyDescent="0.2">
      <c r="C234" s="102"/>
      <c r="D234" s="102"/>
    </row>
    <row r="235" spans="3:4" x14ac:dyDescent="0.2">
      <c r="C235" s="102"/>
      <c r="D235" s="102"/>
    </row>
    <row r="236" spans="3:4" x14ac:dyDescent="0.2">
      <c r="C236" s="102"/>
      <c r="D236" s="102"/>
    </row>
    <row r="237" spans="3:4" x14ac:dyDescent="0.2">
      <c r="C237" s="102"/>
      <c r="D237" s="102"/>
    </row>
    <row r="238" spans="3:4" x14ac:dyDescent="0.2">
      <c r="C238" s="102"/>
      <c r="D238" s="102"/>
    </row>
    <row r="239" spans="3:4" x14ac:dyDescent="0.2">
      <c r="C239" s="102"/>
      <c r="D239" s="102"/>
    </row>
    <row r="240" spans="3:4" x14ac:dyDescent="0.2">
      <c r="C240" s="102"/>
      <c r="D240" s="102"/>
    </row>
    <row r="241" spans="3:4" x14ac:dyDescent="0.2">
      <c r="C241" s="102"/>
      <c r="D241" s="102"/>
    </row>
    <row r="242" spans="3:4" x14ac:dyDescent="0.2">
      <c r="C242" s="102"/>
      <c r="D242" s="102"/>
    </row>
    <row r="243" spans="3:4" x14ac:dyDescent="0.2">
      <c r="C243" s="102"/>
      <c r="D243" s="102"/>
    </row>
    <row r="244" spans="3:4" x14ac:dyDescent="0.2">
      <c r="C244" s="102"/>
      <c r="D244" s="102"/>
    </row>
    <row r="245" spans="3:4" x14ac:dyDescent="0.2">
      <c r="C245" s="102"/>
      <c r="D245" s="102"/>
    </row>
    <row r="246" spans="3:4" x14ac:dyDescent="0.2">
      <c r="C246" s="102"/>
      <c r="D246" s="102"/>
    </row>
    <row r="247" spans="3:4" x14ac:dyDescent="0.2">
      <c r="C247" s="102"/>
      <c r="D247" s="102"/>
    </row>
    <row r="248" spans="3:4" x14ac:dyDescent="0.2">
      <c r="C248" s="102"/>
      <c r="D248" s="102"/>
    </row>
    <row r="249" spans="3:4" x14ac:dyDescent="0.2">
      <c r="C249" s="102"/>
      <c r="D249" s="102"/>
    </row>
    <row r="250" spans="3:4" x14ac:dyDescent="0.2">
      <c r="C250" s="102"/>
      <c r="D250" s="102"/>
    </row>
    <row r="251" spans="3:4" x14ac:dyDescent="0.2">
      <c r="C251" s="102"/>
      <c r="D251" s="102"/>
    </row>
    <row r="252" spans="3:4" x14ac:dyDescent="0.2">
      <c r="C252" s="102"/>
      <c r="D252" s="102"/>
    </row>
    <row r="253" spans="3:4" x14ac:dyDescent="0.2">
      <c r="C253" s="102"/>
      <c r="D253" s="102"/>
    </row>
    <row r="254" spans="3:4" x14ac:dyDescent="0.2">
      <c r="C254" s="102"/>
      <c r="D254" s="102"/>
    </row>
    <row r="255" spans="3:4" x14ac:dyDescent="0.2">
      <c r="C255" s="102"/>
      <c r="D255" s="102"/>
    </row>
    <row r="256" spans="3:4" x14ac:dyDescent="0.2">
      <c r="C256" s="102"/>
      <c r="D256" s="102"/>
    </row>
    <row r="257" spans="3:4" x14ac:dyDescent="0.2">
      <c r="C257" s="102"/>
      <c r="D257" s="102"/>
    </row>
    <row r="258" spans="3:4" x14ac:dyDescent="0.2">
      <c r="C258" s="102"/>
      <c r="D258" s="102"/>
    </row>
    <row r="259" spans="3:4" x14ac:dyDescent="0.2">
      <c r="C259" s="102"/>
      <c r="D259" s="102"/>
    </row>
    <row r="260" spans="3:4" x14ac:dyDescent="0.2">
      <c r="C260" s="102"/>
      <c r="D260" s="102"/>
    </row>
    <row r="261" spans="3:4" x14ac:dyDescent="0.2">
      <c r="C261" s="102"/>
      <c r="D261" s="102"/>
    </row>
    <row r="262" spans="3:4" x14ac:dyDescent="0.2">
      <c r="C262" s="102"/>
      <c r="D262" s="102"/>
    </row>
    <row r="263" spans="3:4" x14ac:dyDescent="0.2">
      <c r="C263" s="102"/>
      <c r="D263" s="102"/>
    </row>
    <row r="264" spans="3:4" x14ac:dyDescent="0.2">
      <c r="C264" s="102"/>
      <c r="D264" s="102"/>
    </row>
    <row r="265" spans="3:4" x14ac:dyDescent="0.2">
      <c r="C265" s="102"/>
      <c r="D265" s="102"/>
    </row>
    <row r="266" spans="3:4" x14ac:dyDescent="0.2">
      <c r="C266" s="102"/>
      <c r="D266" s="102"/>
    </row>
    <row r="267" spans="3:4" x14ac:dyDescent="0.2">
      <c r="C267" s="102"/>
      <c r="D267" s="102"/>
    </row>
    <row r="268" spans="3:4" x14ac:dyDescent="0.2">
      <c r="C268" s="102"/>
      <c r="D268" s="102"/>
    </row>
    <row r="269" spans="3:4" x14ac:dyDescent="0.2">
      <c r="C269" s="102"/>
      <c r="D269" s="102"/>
    </row>
    <row r="270" spans="3:4" x14ac:dyDescent="0.2">
      <c r="C270" s="102"/>
      <c r="D270" s="102"/>
    </row>
    <row r="271" spans="3:4" x14ac:dyDescent="0.2">
      <c r="C271" s="102"/>
      <c r="D271" s="102"/>
    </row>
    <row r="272" spans="3:4" x14ac:dyDescent="0.2">
      <c r="C272" s="102"/>
      <c r="D272" s="102"/>
    </row>
    <row r="273" spans="3:4" x14ac:dyDescent="0.2">
      <c r="C273" s="102"/>
      <c r="D273" s="102"/>
    </row>
    <row r="274" spans="3:4" x14ac:dyDescent="0.2">
      <c r="C274" s="102"/>
      <c r="D274" s="102"/>
    </row>
    <row r="275" spans="3:4" x14ac:dyDescent="0.2">
      <c r="C275" s="102"/>
      <c r="D275" s="102"/>
    </row>
    <row r="276" spans="3:4" x14ac:dyDescent="0.2">
      <c r="C276" s="102"/>
      <c r="D276" s="102"/>
    </row>
    <row r="277" spans="3:4" x14ac:dyDescent="0.2">
      <c r="C277" s="102"/>
      <c r="D277" s="102"/>
    </row>
    <row r="278" spans="3:4" x14ac:dyDescent="0.2">
      <c r="C278" s="102"/>
      <c r="D278" s="102"/>
    </row>
    <row r="279" spans="3:4" x14ac:dyDescent="0.2">
      <c r="C279" s="102"/>
      <c r="D279" s="102"/>
    </row>
    <row r="280" spans="3:4" x14ac:dyDescent="0.2">
      <c r="C280" s="102"/>
      <c r="D280" s="102"/>
    </row>
    <row r="281" spans="3:4" x14ac:dyDescent="0.2">
      <c r="C281" s="102"/>
      <c r="D281" s="102"/>
    </row>
    <row r="282" spans="3:4" x14ac:dyDescent="0.2">
      <c r="C282" s="102"/>
      <c r="D282" s="102"/>
    </row>
    <row r="283" spans="3:4" x14ac:dyDescent="0.2">
      <c r="C283" s="102"/>
      <c r="D283" s="102"/>
    </row>
    <row r="284" spans="3:4" x14ac:dyDescent="0.2">
      <c r="C284" s="102"/>
      <c r="D284" s="102"/>
    </row>
    <row r="285" spans="3:4" x14ac:dyDescent="0.2">
      <c r="C285" s="102"/>
      <c r="D285" s="102"/>
    </row>
    <row r="286" spans="3:4" x14ac:dyDescent="0.2">
      <c r="C286" s="102"/>
      <c r="D286" s="102"/>
    </row>
    <row r="287" spans="3:4" x14ac:dyDescent="0.2">
      <c r="C287" s="102"/>
      <c r="D287" s="102"/>
    </row>
    <row r="288" spans="3:4" x14ac:dyDescent="0.2">
      <c r="C288" s="102"/>
      <c r="D288" s="102"/>
    </row>
    <row r="289" spans="3:4" x14ac:dyDescent="0.2">
      <c r="C289" s="102"/>
      <c r="D289" s="102"/>
    </row>
    <row r="290" spans="3:4" x14ac:dyDescent="0.2">
      <c r="C290" s="102"/>
      <c r="D290" s="102"/>
    </row>
    <row r="291" spans="3:4" x14ac:dyDescent="0.2">
      <c r="C291" s="102"/>
      <c r="D291" s="102"/>
    </row>
    <row r="292" spans="3:4" x14ac:dyDescent="0.2">
      <c r="C292" s="102"/>
      <c r="D292" s="102"/>
    </row>
    <row r="293" spans="3:4" x14ac:dyDescent="0.2">
      <c r="C293" s="102"/>
      <c r="D293" s="102"/>
    </row>
    <row r="294" spans="3:4" x14ac:dyDescent="0.2">
      <c r="C294" s="102"/>
      <c r="D294" s="102"/>
    </row>
    <row r="295" spans="3:4" x14ac:dyDescent="0.2">
      <c r="C295" s="102"/>
      <c r="D295" s="102"/>
    </row>
    <row r="296" spans="3:4" x14ac:dyDescent="0.2">
      <c r="C296" s="102"/>
      <c r="D296" s="102"/>
    </row>
    <row r="297" spans="3:4" x14ac:dyDescent="0.2">
      <c r="C297" s="102"/>
      <c r="D297" s="102"/>
    </row>
    <row r="298" spans="3:4" x14ac:dyDescent="0.2">
      <c r="C298" s="102"/>
      <c r="D298" s="102"/>
    </row>
    <row r="299" spans="3:4" x14ac:dyDescent="0.2">
      <c r="C299" s="102"/>
      <c r="D299" s="102"/>
    </row>
    <row r="300" spans="3:4" x14ac:dyDescent="0.2">
      <c r="C300" s="102"/>
      <c r="D300" s="102"/>
    </row>
    <row r="301" spans="3:4" x14ac:dyDescent="0.2">
      <c r="C301" s="102"/>
      <c r="D301" s="102"/>
    </row>
    <row r="302" spans="3:4" x14ac:dyDescent="0.2">
      <c r="C302" s="102"/>
      <c r="D302" s="102"/>
    </row>
    <row r="303" spans="3:4" x14ac:dyDescent="0.2">
      <c r="C303" s="102"/>
      <c r="D303" s="102"/>
    </row>
    <row r="304" spans="3:4" x14ac:dyDescent="0.2">
      <c r="C304" s="102"/>
      <c r="D304" s="102"/>
    </row>
    <row r="305" spans="3:4" x14ac:dyDescent="0.2">
      <c r="C305" s="102"/>
      <c r="D305" s="102"/>
    </row>
    <row r="306" spans="3:4" x14ac:dyDescent="0.2">
      <c r="C306" s="102"/>
      <c r="D306" s="102"/>
    </row>
    <row r="307" spans="3:4" x14ac:dyDescent="0.2">
      <c r="C307" s="102"/>
      <c r="D307" s="102"/>
    </row>
    <row r="308" spans="3:4" x14ac:dyDescent="0.2">
      <c r="C308" s="102"/>
      <c r="D308" s="102"/>
    </row>
    <row r="309" spans="3:4" x14ac:dyDescent="0.2">
      <c r="C309" s="102"/>
      <c r="D309" s="102"/>
    </row>
    <row r="310" spans="3:4" x14ac:dyDescent="0.2">
      <c r="C310" s="102"/>
      <c r="D310" s="102"/>
    </row>
    <row r="311" spans="3:4" x14ac:dyDescent="0.2">
      <c r="C311" s="102"/>
      <c r="D311" s="102"/>
    </row>
    <row r="312" spans="3:4" x14ac:dyDescent="0.2">
      <c r="C312" s="102"/>
      <c r="D312" s="102"/>
    </row>
    <row r="313" spans="3:4" x14ac:dyDescent="0.2">
      <c r="C313" s="102"/>
      <c r="D313" s="102"/>
    </row>
    <row r="314" spans="3:4" x14ac:dyDescent="0.2">
      <c r="C314" s="102"/>
      <c r="D314" s="102"/>
    </row>
    <row r="315" spans="3:4" x14ac:dyDescent="0.2">
      <c r="C315" s="102"/>
      <c r="D315" s="102"/>
    </row>
    <row r="316" spans="3:4" x14ac:dyDescent="0.2">
      <c r="C316" s="102"/>
      <c r="D316" s="102"/>
    </row>
    <row r="317" spans="3:4" x14ac:dyDescent="0.2">
      <c r="C317" s="102"/>
      <c r="D317" s="102"/>
    </row>
    <row r="318" spans="3:4" x14ac:dyDescent="0.2">
      <c r="C318" s="102"/>
      <c r="D318" s="102"/>
    </row>
    <row r="319" spans="3:4" x14ac:dyDescent="0.2">
      <c r="C319" s="102"/>
      <c r="D319" s="102"/>
    </row>
    <row r="320" spans="3:4" x14ac:dyDescent="0.2">
      <c r="C320" s="102"/>
      <c r="D320" s="102"/>
    </row>
    <row r="321" spans="3:4" x14ac:dyDescent="0.2">
      <c r="C321" s="102"/>
      <c r="D321" s="102"/>
    </row>
    <row r="322" spans="3:4" x14ac:dyDescent="0.2">
      <c r="C322" s="102"/>
      <c r="D322" s="102"/>
    </row>
    <row r="323" spans="3:4" x14ac:dyDescent="0.2">
      <c r="C323" s="102"/>
      <c r="D323" s="102"/>
    </row>
    <row r="324" spans="3:4" x14ac:dyDescent="0.2">
      <c r="C324" s="102"/>
      <c r="D324" s="102"/>
    </row>
    <row r="325" spans="3:4" x14ac:dyDescent="0.2">
      <c r="C325" s="102"/>
      <c r="D325" s="102"/>
    </row>
    <row r="326" spans="3:4" x14ac:dyDescent="0.2">
      <c r="C326" s="102"/>
      <c r="D326" s="102"/>
    </row>
    <row r="327" spans="3:4" x14ac:dyDescent="0.2">
      <c r="C327" s="102"/>
      <c r="D327" s="102"/>
    </row>
    <row r="328" spans="3:4" x14ac:dyDescent="0.2">
      <c r="C328" s="102"/>
      <c r="D328" s="102"/>
    </row>
    <row r="329" spans="3:4" x14ac:dyDescent="0.2">
      <c r="C329" s="102"/>
      <c r="D329" s="102"/>
    </row>
    <row r="330" spans="3:4" x14ac:dyDescent="0.2">
      <c r="C330" s="102"/>
      <c r="D330" s="102"/>
    </row>
    <row r="331" spans="3:4" x14ac:dyDescent="0.2">
      <c r="C331" s="102"/>
      <c r="D331" s="102"/>
    </row>
    <row r="332" spans="3:4" x14ac:dyDescent="0.2">
      <c r="C332" s="102"/>
      <c r="D332" s="102"/>
    </row>
    <row r="333" spans="3:4" x14ac:dyDescent="0.2">
      <c r="C333" s="102"/>
      <c r="D333" s="102"/>
    </row>
    <row r="334" spans="3:4" x14ac:dyDescent="0.2">
      <c r="C334" s="102"/>
      <c r="D334" s="102"/>
    </row>
    <row r="335" spans="3:4" x14ac:dyDescent="0.2">
      <c r="C335" s="102"/>
      <c r="D335" s="102"/>
    </row>
    <row r="336" spans="3:4" x14ac:dyDescent="0.2">
      <c r="C336" s="102"/>
      <c r="D336" s="102"/>
    </row>
    <row r="337" spans="3:4" x14ac:dyDescent="0.2">
      <c r="C337" s="102"/>
      <c r="D337" s="102"/>
    </row>
    <row r="338" spans="3:4" x14ac:dyDescent="0.2">
      <c r="C338" s="102"/>
      <c r="D338" s="102"/>
    </row>
    <row r="339" spans="3:4" x14ac:dyDescent="0.2">
      <c r="C339" s="102"/>
      <c r="D339" s="102"/>
    </row>
    <row r="340" spans="3:4" x14ac:dyDescent="0.2">
      <c r="C340" s="102"/>
      <c r="D340" s="102"/>
    </row>
    <row r="341" spans="3:4" x14ac:dyDescent="0.2">
      <c r="C341" s="102"/>
      <c r="D341" s="102"/>
    </row>
    <row r="342" spans="3:4" x14ac:dyDescent="0.2">
      <c r="C342" s="102"/>
      <c r="D342" s="102"/>
    </row>
    <row r="343" spans="3:4" x14ac:dyDescent="0.2">
      <c r="C343" s="102"/>
      <c r="D343" s="102"/>
    </row>
    <row r="344" spans="3:4" x14ac:dyDescent="0.2">
      <c r="C344" s="102"/>
      <c r="D344" s="102"/>
    </row>
    <row r="345" spans="3:4" x14ac:dyDescent="0.2">
      <c r="C345" s="102"/>
      <c r="D345" s="102"/>
    </row>
    <row r="346" spans="3:4" x14ac:dyDescent="0.2">
      <c r="C346" s="102"/>
      <c r="D346" s="102"/>
    </row>
    <row r="347" spans="3:4" x14ac:dyDescent="0.2">
      <c r="C347" s="102"/>
      <c r="D347" s="102"/>
    </row>
    <row r="348" spans="3:4" x14ac:dyDescent="0.2">
      <c r="C348" s="102"/>
      <c r="D348" s="102"/>
    </row>
    <row r="349" spans="3:4" x14ac:dyDescent="0.2">
      <c r="C349" s="102"/>
      <c r="D349" s="102"/>
    </row>
    <row r="350" spans="3:4" x14ac:dyDescent="0.2">
      <c r="C350" s="102"/>
      <c r="D350" s="102"/>
    </row>
    <row r="351" spans="3:4" x14ac:dyDescent="0.2">
      <c r="C351" s="102"/>
      <c r="D351" s="102"/>
    </row>
    <row r="352" spans="3:4" x14ac:dyDescent="0.2">
      <c r="C352" s="102"/>
      <c r="D352" s="102"/>
    </row>
    <row r="353" spans="3:4" x14ac:dyDescent="0.2">
      <c r="C353" s="102"/>
      <c r="D353" s="102"/>
    </row>
    <row r="354" spans="3:4" x14ac:dyDescent="0.2">
      <c r="C354" s="102"/>
      <c r="D354" s="102"/>
    </row>
    <row r="355" spans="3:4" x14ac:dyDescent="0.2">
      <c r="C355" s="102"/>
      <c r="D355" s="102"/>
    </row>
    <row r="356" spans="3:4" x14ac:dyDescent="0.2">
      <c r="C356" s="102"/>
      <c r="D356" s="102"/>
    </row>
    <row r="357" spans="3:4" x14ac:dyDescent="0.2">
      <c r="C357" s="102"/>
      <c r="D357" s="102"/>
    </row>
    <row r="358" spans="3:4" x14ac:dyDescent="0.2">
      <c r="C358" s="102"/>
      <c r="D358" s="102"/>
    </row>
    <row r="359" spans="3:4" x14ac:dyDescent="0.2">
      <c r="C359" s="102"/>
      <c r="D359" s="102"/>
    </row>
    <row r="360" spans="3:4" x14ac:dyDescent="0.2">
      <c r="C360" s="102"/>
      <c r="D360" s="102"/>
    </row>
    <row r="361" spans="3:4" x14ac:dyDescent="0.2">
      <c r="C361" s="102"/>
      <c r="D361" s="102"/>
    </row>
    <row r="362" spans="3:4" x14ac:dyDescent="0.2">
      <c r="C362" s="102"/>
      <c r="D362" s="102"/>
    </row>
    <row r="363" spans="3:4" x14ac:dyDescent="0.2">
      <c r="C363" s="102"/>
      <c r="D363" s="102"/>
    </row>
    <row r="364" spans="3:4" x14ac:dyDescent="0.2">
      <c r="C364" s="102"/>
      <c r="D364" s="102"/>
    </row>
    <row r="365" spans="3:4" x14ac:dyDescent="0.2">
      <c r="C365" s="102"/>
      <c r="D365" s="102"/>
    </row>
    <row r="366" spans="3:4" x14ac:dyDescent="0.2">
      <c r="C366" s="102"/>
      <c r="D366" s="102"/>
    </row>
    <row r="367" spans="3:4" x14ac:dyDescent="0.2">
      <c r="C367" s="102"/>
      <c r="D367" s="102"/>
    </row>
    <row r="368" spans="3:4" x14ac:dyDescent="0.2">
      <c r="C368" s="102"/>
      <c r="D368" s="102"/>
    </row>
    <row r="369" spans="3:4" x14ac:dyDescent="0.2">
      <c r="C369" s="102"/>
      <c r="D369" s="102"/>
    </row>
    <row r="370" spans="3:4" x14ac:dyDescent="0.2">
      <c r="C370" s="102"/>
      <c r="D370" s="102"/>
    </row>
    <row r="371" spans="3:4" x14ac:dyDescent="0.2">
      <c r="C371" s="102"/>
      <c r="D371" s="102"/>
    </row>
    <row r="372" spans="3:4" x14ac:dyDescent="0.2">
      <c r="C372" s="102"/>
      <c r="D372" s="102"/>
    </row>
    <row r="373" spans="3:4" x14ac:dyDescent="0.2">
      <c r="C373" s="102"/>
      <c r="D373" s="102"/>
    </row>
    <row r="374" spans="3:4" x14ac:dyDescent="0.2">
      <c r="C374" s="102"/>
      <c r="D374" s="102"/>
    </row>
    <row r="375" spans="3:4" x14ac:dyDescent="0.2">
      <c r="C375" s="102"/>
      <c r="D375" s="102"/>
    </row>
    <row r="376" spans="3:4" x14ac:dyDescent="0.2">
      <c r="C376" s="102"/>
      <c r="D376" s="102"/>
    </row>
    <row r="377" spans="3:4" x14ac:dyDescent="0.2">
      <c r="C377" s="102"/>
      <c r="D377" s="102"/>
    </row>
    <row r="378" spans="3:4" x14ac:dyDescent="0.2">
      <c r="C378" s="102"/>
      <c r="D378" s="102"/>
    </row>
    <row r="379" spans="3:4" x14ac:dyDescent="0.2">
      <c r="C379" s="102"/>
      <c r="D379" s="102"/>
    </row>
    <row r="380" spans="3:4" x14ac:dyDescent="0.2">
      <c r="C380" s="102"/>
      <c r="D380" s="102"/>
    </row>
    <row r="381" spans="3:4" x14ac:dyDescent="0.2">
      <c r="C381" s="102"/>
      <c r="D381" s="102"/>
    </row>
    <row r="382" spans="3:4" x14ac:dyDescent="0.2">
      <c r="C382" s="102"/>
      <c r="D382" s="102"/>
    </row>
    <row r="383" spans="3:4" x14ac:dyDescent="0.2">
      <c r="C383" s="102"/>
      <c r="D383" s="102"/>
    </row>
    <row r="384" spans="3:4" x14ac:dyDescent="0.2">
      <c r="C384" s="102"/>
      <c r="D384" s="102"/>
    </row>
    <row r="385" spans="3:4" x14ac:dyDescent="0.2">
      <c r="C385" s="102"/>
      <c r="D385" s="102"/>
    </row>
    <row r="386" spans="3:4" x14ac:dyDescent="0.2">
      <c r="C386" s="102"/>
      <c r="D386" s="102"/>
    </row>
    <row r="387" spans="3:4" x14ac:dyDescent="0.2">
      <c r="C387" s="102"/>
      <c r="D387" s="102"/>
    </row>
    <row r="388" spans="3:4" x14ac:dyDescent="0.2">
      <c r="C388" s="102"/>
      <c r="D388" s="102"/>
    </row>
    <row r="389" spans="3:4" x14ac:dyDescent="0.2">
      <c r="C389" s="102"/>
      <c r="D389" s="102"/>
    </row>
    <row r="390" spans="3:4" x14ac:dyDescent="0.2">
      <c r="C390" s="102"/>
      <c r="D390" s="102"/>
    </row>
    <row r="391" spans="3:4" x14ac:dyDescent="0.2">
      <c r="C391" s="102"/>
      <c r="D391" s="102"/>
    </row>
    <row r="392" spans="3:4" x14ac:dyDescent="0.2">
      <c r="C392" s="102"/>
      <c r="D392" s="102"/>
    </row>
    <row r="393" spans="3:4" x14ac:dyDescent="0.2">
      <c r="C393" s="102"/>
      <c r="D393" s="102"/>
    </row>
    <row r="394" spans="3:4" x14ac:dyDescent="0.2">
      <c r="C394" s="102"/>
      <c r="D394" s="102"/>
    </row>
    <row r="395" spans="3:4" x14ac:dyDescent="0.2">
      <c r="C395" s="102"/>
      <c r="D395" s="102"/>
    </row>
    <row r="396" spans="3:4" x14ac:dyDescent="0.2">
      <c r="C396" s="102"/>
      <c r="D396" s="102"/>
    </row>
    <row r="397" spans="3:4" x14ac:dyDescent="0.2">
      <c r="C397" s="102"/>
      <c r="D397" s="102"/>
    </row>
    <row r="398" spans="3:4" x14ac:dyDescent="0.2">
      <c r="C398" s="102"/>
      <c r="D398" s="102"/>
    </row>
    <row r="399" spans="3:4" x14ac:dyDescent="0.2">
      <c r="C399" s="102"/>
      <c r="D399" s="102"/>
    </row>
    <row r="400" spans="3:4" x14ac:dyDescent="0.2">
      <c r="C400" s="102"/>
      <c r="D400" s="102"/>
    </row>
    <row r="401" spans="3:4" x14ac:dyDescent="0.2">
      <c r="C401" s="102"/>
      <c r="D401" s="102"/>
    </row>
    <row r="402" spans="3:4" x14ac:dyDescent="0.2">
      <c r="C402" s="102"/>
      <c r="D402" s="102"/>
    </row>
    <row r="403" spans="3:4" x14ac:dyDescent="0.2">
      <c r="C403" s="102"/>
      <c r="D403" s="102"/>
    </row>
    <row r="404" spans="3:4" x14ac:dyDescent="0.2">
      <c r="C404" s="102"/>
      <c r="D404" s="102"/>
    </row>
    <row r="405" spans="3:4" x14ac:dyDescent="0.2">
      <c r="C405" s="102"/>
      <c r="D405" s="102"/>
    </row>
    <row r="406" spans="3:4" x14ac:dyDescent="0.2">
      <c r="C406" s="102"/>
      <c r="D406" s="102"/>
    </row>
    <row r="407" spans="3:4" x14ac:dyDescent="0.2">
      <c r="C407" s="102"/>
      <c r="D407" s="102"/>
    </row>
    <row r="408" spans="3:4" x14ac:dyDescent="0.2">
      <c r="C408" s="102"/>
      <c r="D408" s="102"/>
    </row>
    <row r="409" spans="3:4" x14ac:dyDescent="0.2">
      <c r="C409" s="102"/>
      <c r="D409" s="102"/>
    </row>
    <row r="410" spans="3:4" x14ac:dyDescent="0.2">
      <c r="C410" s="102"/>
      <c r="D410" s="102"/>
    </row>
    <row r="411" spans="3:4" x14ac:dyDescent="0.2">
      <c r="C411" s="102"/>
      <c r="D411" s="102"/>
    </row>
    <row r="412" spans="3:4" x14ac:dyDescent="0.2">
      <c r="C412" s="102"/>
      <c r="D412" s="102"/>
    </row>
    <row r="413" spans="3:4" x14ac:dyDescent="0.2">
      <c r="C413" s="102"/>
      <c r="D413" s="102"/>
    </row>
    <row r="414" spans="3:4" x14ac:dyDescent="0.2">
      <c r="C414" s="102"/>
      <c r="D414" s="102"/>
    </row>
    <row r="415" spans="3:4" x14ac:dyDescent="0.2">
      <c r="C415" s="102"/>
      <c r="D415" s="102"/>
    </row>
    <row r="416" spans="3:4" x14ac:dyDescent="0.2">
      <c r="C416" s="102"/>
      <c r="D416" s="102"/>
    </row>
    <row r="417" spans="3:4" x14ac:dyDescent="0.2">
      <c r="C417" s="102"/>
      <c r="D417" s="102"/>
    </row>
    <row r="418" spans="3:4" x14ac:dyDescent="0.2">
      <c r="C418" s="102"/>
      <c r="D418" s="102"/>
    </row>
    <row r="419" spans="3:4" x14ac:dyDescent="0.2">
      <c r="C419" s="102"/>
      <c r="D419" s="102"/>
    </row>
    <row r="420" spans="3:4" x14ac:dyDescent="0.2">
      <c r="C420" s="102"/>
      <c r="D420" s="102"/>
    </row>
    <row r="421" spans="3:4" x14ac:dyDescent="0.2">
      <c r="C421" s="102"/>
      <c r="D421" s="102"/>
    </row>
    <row r="422" spans="3:4" x14ac:dyDescent="0.2">
      <c r="C422" s="102"/>
      <c r="D422" s="102"/>
    </row>
    <row r="423" spans="3:4" x14ac:dyDescent="0.2">
      <c r="C423" s="102"/>
      <c r="D423" s="102"/>
    </row>
    <row r="424" spans="3:4" x14ac:dyDescent="0.2">
      <c r="C424" s="102"/>
      <c r="D424" s="102"/>
    </row>
    <row r="425" spans="3:4" x14ac:dyDescent="0.2">
      <c r="C425" s="102"/>
      <c r="D425" s="102"/>
    </row>
    <row r="426" spans="3:4" x14ac:dyDescent="0.2">
      <c r="C426" s="102"/>
      <c r="D426" s="102"/>
    </row>
    <row r="427" spans="3:4" x14ac:dyDescent="0.2">
      <c r="C427" s="102"/>
      <c r="D427" s="102"/>
    </row>
    <row r="428" spans="3:4" x14ac:dyDescent="0.2">
      <c r="C428" s="102"/>
      <c r="D428" s="102"/>
    </row>
    <row r="429" spans="3:4" x14ac:dyDescent="0.2">
      <c r="C429" s="102"/>
      <c r="D429" s="102"/>
    </row>
    <row r="430" spans="3:4" x14ac:dyDescent="0.2">
      <c r="C430" s="102"/>
      <c r="D430" s="102"/>
    </row>
    <row r="431" spans="3:4" x14ac:dyDescent="0.2">
      <c r="C431" s="102"/>
      <c r="D431" s="102"/>
    </row>
    <row r="432" spans="3:4" x14ac:dyDescent="0.2">
      <c r="C432" s="102"/>
      <c r="D432" s="102"/>
    </row>
    <row r="433" spans="3:4" x14ac:dyDescent="0.2">
      <c r="C433" s="102"/>
      <c r="D433" s="102"/>
    </row>
    <row r="434" spans="3:4" x14ac:dyDescent="0.2">
      <c r="C434" s="102"/>
      <c r="D434" s="102"/>
    </row>
    <row r="435" spans="3:4" x14ac:dyDescent="0.2">
      <c r="C435" s="102"/>
      <c r="D435" s="102"/>
    </row>
    <row r="436" spans="3:4" x14ac:dyDescent="0.2">
      <c r="C436" s="102"/>
      <c r="D436" s="102"/>
    </row>
    <row r="437" spans="3:4" x14ac:dyDescent="0.2">
      <c r="C437" s="102"/>
      <c r="D437" s="102"/>
    </row>
    <row r="438" spans="3:4" x14ac:dyDescent="0.2">
      <c r="C438" s="102"/>
      <c r="D438" s="102"/>
    </row>
    <row r="439" spans="3:4" x14ac:dyDescent="0.2">
      <c r="C439" s="102"/>
      <c r="D439" s="102"/>
    </row>
    <row r="440" spans="3:4" x14ac:dyDescent="0.2">
      <c r="C440" s="102"/>
      <c r="D440" s="102"/>
    </row>
    <row r="441" spans="3:4" x14ac:dyDescent="0.2">
      <c r="C441" s="102"/>
      <c r="D441" s="102"/>
    </row>
    <row r="442" spans="3:4" x14ac:dyDescent="0.2">
      <c r="C442" s="102"/>
      <c r="D442" s="102"/>
    </row>
    <row r="443" spans="3:4" x14ac:dyDescent="0.2">
      <c r="C443" s="102"/>
      <c r="D443" s="102"/>
    </row>
    <row r="444" spans="3:4" x14ac:dyDescent="0.2">
      <c r="C444" s="102"/>
      <c r="D444" s="102"/>
    </row>
    <row r="445" spans="3:4" x14ac:dyDescent="0.2">
      <c r="C445" s="102"/>
      <c r="D445" s="102"/>
    </row>
    <row r="446" spans="3:4" x14ac:dyDescent="0.2">
      <c r="C446" s="102"/>
      <c r="D446" s="102"/>
    </row>
    <row r="447" spans="3:4" x14ac:dyDescent="0.2">
      <c r="C447" s="102"/>
      <c r="D447" s="102"/>
    </row>
    <row r="448" spans="3:4" x14ac:dyDescent="0.2">
      <c r="C448" s="102"/>
      <c r="D448" s="102"/>
    </row>
    <row r="449" spans="3:4" x14ac:dyDescent="0.2">
      <c r="C449" s="102"/>
      <c r="D449" s="102"/>
    </row>
    <row r="450" spans="3:4" x14ac:dyDescent="0.2">
      <c r="C450" s="102"/>
      <c r="D450" s="102"/>
    </row>
    <row r="451" spans="3:4" x14ac:dyDescent="0.2">
      <c r="C451" s="102"/>
      <c r="D451" s="102"/>
    </row>
    <row r="452" spans="3:4" x14ac:dyDescent="0.2">
      <c r="C452" s="102"/>
      <c r="D452" s="102"/>
    </row>
    <row r="453" spans="3:4" x14ac:dyDescent="0.2">
      <c r="C453" s="102"/>
      <c r="D453" s="102"/>
    </row>
    <row r="454" spans="3:4" x14ac:dyDescent="0.2">
      <c r="C454" s="102"/>
      <c r="D454" s="102"/>
    </row>
    <row r="455" spans="3:4" x14ac:dyDescent="0.2">
      <c r="C455" s="102"/>
      <c r="D455" s="102"/>
    </row>
    <row r="456" spans="3:4" x14ac:dyDescent="0.2">
      <c r="C456" s="102"/>
      <c r="D456" s="102"/>
    </row>
    <row r="457" spans="3:4" x14ac:dyDescent="0.2">
      <c r="C457" s="102"/>
      <c r="D457" s="102"/>
    </row>
    <row r="458" spans="3:4" x14ac:dyDescent="0.2">
      <c r="C458" s="102"/>
      <c r="D458" s="102"/>
    </row>
    <row r="459" spans="3:4" x14ac:dyDescent="0.2">
      <c r="C459" s="102"/>
      <c r="D459" s="102"/>
    </row>
    <row r="460" spans="3:4" x14ac:dyDescent="0.2">
      <c r="C460" s="102"/>
      <c r="D460" s="102"/>
    </row>
    <row r="461" spans="3:4" x14ac:dyDescent="0.2">
      <c r="C461" s="102"/>
      <c r="D461" s="102"/>
    </row>
    <row r="462" spans="3:4" x14ac:dyDescent="0.2">
      <c r="C462" s="102"/>
      <c r="D462" s="102"/>
    </row>
    <row r="463" spans="3:4" x14ac:dyDescent="0.2">
      <c r="C463" s="102"/>
      <c r="D463" s="102"/>
    </row>
    <row r="464" spans="3:4" x14ac:dyDescent="0.2">
      <c r="C464" s="102"/>
      <c r="D464" s="102"/>
    </row>
    <row r="465" spans="3:4" x14ac:dyDescent="0.2">
      <c r="C465" s="102"/>
      <c r="D465" s="102"/>
    </row>
    <row r="466" spans="3:4" x14ac:dyDescent="0.2">
      <c r="C466" s="102"/>
      <c r="D466" s="102"/>
    </row>
    <row r="467" spans="3:4" x14ac:dyDescent="0.2">
      <c r="C467" s="102"/>
      <c r="D467" s="102"/>
    </row>
    <row r="468" spans="3:4" x14ac:dyDescent="0.2">
      <c r="C468" s="102"/>
      <c r="D468" s="102"/>
    </row>
    <row r="469" spans="3:4" x14ac:dyDescent="0.2">
      <c r="C469" s="102"/>
      <c r="D469" s="102"/>
    </row>
    <row r="470" spans="3:4" x14ac:dyDescent="0.2">
      <c r="C470" s="102"/>
      <c r="D470" s="102"/>
    </row>
    <row r="471" spans="3:4" x14ac:dyDescent="0.2">
      <c r="C471" s="102"/>
      <c r="D471" s="102"/>
    </row>
    <row r="472" spans="3:4" x14ac:dyDescent="0.2">
      <c r="C472" s="102"/>
      <c r="D472" s="102"/>
    </row>
    <row r="473" spans="3:4" x14ac:dyDescent="0.2">
      <c r="C473" s="102"/>
      <c r="D473" s="102"/>
    </row>
    <row r="474" spans="3:4" x14ac:dyDescent="0.2">
      <c r="C474" s="102"/>
      <c r="D474" s="102"/>
    </row>
    <row r="475" spans="3:4" x14ac:dyDescent="0.2">
      <c r="C475" s="102"/>
      <c r="D475" s="102"/>
    </row>
    <row r="476" spans="3:4" x14ac:dyDescent="0.2">
      <c r="C476" s="102"/>
      <c r="D476" s="102"/>
    </row>
    <row r="477" spans="3:4" x14ac:dyDescent="0.2">
      <c r="C477" s="102"/>
      <c r="D477" s="102"/>
    </row>
    <row r="478" spans="3:4" x14ac:dyDescent="0.2">
      <c r="C478" s="102"/>
      <c r="D478" s="102"/>
    </row>
    <row r="479" spans="3:4" x14ac:dyDescent="0.2">
      <c r="C479" s="102"/>
      <c r="D479" s="102"/>
    </row>
    <row r="480" spans="3:4" x14ac:dyDescent="0.2">
      <c r="C480" s="102"/>
      <c r="D480" s="102"/>
    </row>
    <row r="481" spans="3:4" x14ac:dyDescent="0.2">
      <c r="C481" s="102"/>
      <c r="D481" s="102"/>
    </row>
    <row r="482" spans="3:4" x14ac:dyDescent="0.2">
      <c r="C482" s="102"/>
      <c r="D482" s="102"/>
    </row>
    <row r="483" spans="3:4" x14ac:dyDescent="0.2">
      <c r="C483" s="102"/>
      <c r="D483" s="102"/>
    </row>
    <row r="484" spans="3:4" x14ac:dyDescent="0.2">
      <c r="C484" s="102"/>
      <c r="D484" s="102"/>
    </row>
    <row r="485" spans="3:4" x14ac:dyDescent="0.2">
      <c r="C485" s="102"/>
      <c r="D485" s="102"/>
    </row>
    <row r="486" spans="3:4" x14ac:dyDescent="0.2">
      <c r="C486" s="102"/>
      <c r="D486" s="102"/>
    </row>
    <row r="487" spans="3:4" x14ac:dyDescent="0.2">
      <c r="C487" s="102"/>
      <c r="D487" s="102"/>
    </row>
    <row r="488" spans="3:4" x14ac:dyDescent="0.2">
      <c r="C488" s="102"/>
      <c r="D488" s="102"/>
    </row>
    <row r="489" spans="3:4" x14ac:dyDescent="0.2">
      <c r="C489" s="102"/>
      <c r="D489" s="102"/>
    </row>
    <row r="490" spans="3:4" x14ac:dyDescent="0.2">
      <c r="C490" s="102"/>
      <c r="D490" s="102"/>
    </row>
    <row r="491" spans="3:4" x14ac:dyDescent="0.2">
      <c r="C491" s="102"/>
      <c r="D491" s="102"/>
    </row>
    <row r="492" spans="3:4" x14ac:dyDescent="0.2">
      <c r="C492" s="102"/>
      <c r="D492" s="102"/>
    </row>
    <row r="493" spans="3:4" x14ac:dyDescent="0.2">
      <c r="C493" s="102"/>
      <c r="D493" s="102"/>
    </row>
    <row r="494" spans="3:4" x14ac:dyDescent="0.2">
      <c r="C494" s="102"/>
      <c r="D494" s="102"/>
    </row>
    <row r="495" spans="3:4" x14ac:dyDescent="0.2">
      <c r="C495" s="102"/>
      <c r="D495" s="102"/>
    </row>
    <row r="496" spans="3:4" x14ac:dyDescent="0.2">
      <c r="C496" s="102"/>
      <c r="D496" s="102"/>
    </row>
    <row r="497" spans="3:4" x14ac:dyDescent="0.2">
      <c r="C497" s="102"/>
      <c r="D497" s="102"/>
    </row>
    <row r="498" spans="3:4" x14ac:dyDescent="0.2">
      <c r="C498" s="102"/>
      <c r="D498" s="102"/>
    </row>
    <row r="499" spans="3:4" x14ac:dyDescent="0.2">
      <c r="C499" s="102"/>
      <c r="D499" s="102"/>
    </row>
    <row r="500" spans="3:4" x14ac:dyDescent="0.2">
      <c r="C500" s="102"/>
      <c r="D500" s="102"/>
    </row>
    <row r="501" spans="3:4" x14ac:dyDescent="0.2">
      <c r="C501" s="102"/>
      <c r="D501" s="102"/>
    </row>
    <row r="502" spans="3:4" x14ac:dyDescent="0.2">
      <c r="C502" s="102"/>
      <c r="D502" s="102"/>
    </row>
    <row r="503" spans="3:4" x14ac:dyDescent="0.2">
      <c r="C503" s="102"/>
      <c r="D503" s="102"/>
    </row>
    <row r="504" spans="3:4" x14ac:dyDescent="0.2">
      <c r="C504" s="102"/>
      <c r="D504" s="102"/>
    </row>
    <row r="505" spans="3:4" x14ac:dyDescent="0.2">
      <c r="C505" s="102"/>
      <c r="D505" s="102"/>
    </row>
    <row r="506" spans="3:4" x14ac:dyDescent="0.2">
      <c r="C506" s="102"/>
      <c r="D506" s="102"/>
    </row>
    <row r="507" spans="3:4" x14ac:dyDescent="0.2">
      <c r="C507" s="102"/>
      <c r="D507" s="102"/>
    </row>
    <row r="508" spans="3:4" x14ac:dyDescent="0.2">
      <c r="C508" s="102"/>
      <c r="D508" s="102"/>
    </row>
    <row r="509" spans="3:4" x14ac:dyDescent="0.2">
      <c r="C509" s="102"/>
      <c r="D509" s="102"/>
    </row>
    <row r="510" spans="3:4" x14ac:dyDescent="0.2">
      <c r="C510" s="102"/>
      <c r="D510" s="102"/>
    </row>
    <row r="511" spans="3:4" x14ac:dyDescent="0.2">
      <c r="C511" s="102"/>
      <c r="D511" s="102"/>
    </row>
    <row r="512" spans="3:4" x14ac:dyDescent="0.2">
      <c r="C512" s="102"/>
      <c r="D512" s="102"/>
    </row>
    <row r="513" spans="3:4" x14ac:dyDescent="0.2">
      <c r="C513" s="102"/>
      <c r="D513" s="102"/>
    </row>
    <row r="514" spans="3:4" x14ac:dyDescent="0.2">
      <c r="C514" s="102"/>
      <c r="D514" s="102"/>
    </row>
    <row r="515" spans="3:4" x14ac:dyDescent="0.2">
      <c r="C515" s="102"/>
      <c r="D515" s="102"/>
    </row>
    <row r="516" spans="3:4" x14ac:dyDescent="0.2">
      <c r="C516" s="102"/>
      <c r="D516" s="102"/>
    </row>
    <row r="517" spans="3:4" x14ac:dyDescent="0.2">
      <c r="C517" s="102"/>
      <c r="D517" s="102"/>
    </row>
    <row r="518" spans="3:4" x14ac:dyDescent="0.2">
      <c r="C518" s="102"/>
      <c r="D518" s="102"/>
    </row>
    <row r="519" spans="3:4" x14ac:dyDescent="0.2">
      <c r="C519" s="102"/>
      <c r="D519" s="102"/>
    </row>
    <row r="520" spans="3:4" x14ac:dyDescent="0.2">
      <c r="C520" s="102"/>
      <c r="D520" s="102"/>
    </row>
    <row r="521" spans="3:4" x14ac:dyDescent="0.2">
      <c r="C521" s="102"/>
      <c r="D521" s="102"/>
    </row>
    <row r="522" spans="3:4" x14ac:dyDescent="0.2">
      <c r="C522" s="102"/>
      <c r="D522" s="102"/>
    </row>
    <row r="523" spans="3:4" x14ac:dyDescent="0.2">
      <c r="C523" s="102"/>
      <c r="D523" s="102"/>
    </row>
    <row r="524" spans="3:4" x14ac:dyDescent="0.2">
      <c r="C524" s="102"/>
      <c r="D524" s="102"/>
    </row>
    <row r="525" spans="3:4" x14ac:dyDescent="0.2">
      <c r="C525" s="102"/>
      <c r="D525" s="102"/>
    </row>
    <row r="526" spans="3:4" x14ac:dyDescent="0.2">
      <c r="C526" s="102"/>
      <c r="D526" s="102"/>
    </row>
    <row r="527" spans="3:4" x14ac:dyDescent="0.2">
      <c r="C527" s="102"/>
      <c r="D527" s="102"/>
    </row>
    <row r="528" spans="3:4" x14ac:dyDescent="0.2">
      <c r="C528" s="102"/>
      <c r="D528" s="102"/>
    </row>
    <row r="529" spans="3:4" x14ac:dyDescent="0.2">
      <c r="C529" s="102"/>
      <c r="D529" s="102"/>
    </row>
    <row r="530" spans="3:4" x14ac:dyDescent="0.2">
      <c r="C530" s="102"/>
      <c r="D530" s="102"/>
    </row>
    <row r="531" spans="3:4" x14ac:dyDescent="0.2">
      <c r="C531" s="102"/>
      <c r="D531" s="102"/>
    </row>
    <row r="532" spans="3:4" x14ac:dyDescent="0.2">
      <c r="C532" s="102"/>
      <c r="D532" s="102"/>
    </row>
    <row r="533" spans="3:4" x14ac:dyDescent="0.2">
      <c r="C533" s="102"/>
      <c r="D533" s="102"/>
    </row>
    <row r="534" spans="3:4" x14ac:dyDescent="0.2">
      <c r="C534" s="102"/>
      <c r="D534" s="102"/>
    </row>
    <row r="535" spans="3:4" x14ac:dyDescent="0.2">
      <c r="C535" s="102"/>
      <c r="D535" s="102"/>
    </row>
    <row r="536" spans="3:4" x14ac:dyDescent="0.2">
      <c r="C536" s="102"/>
      <c r="D536" s="102"/>
    </row>
    <row r="537" spans="3:4" x14ac:dyDescent="0.2">
      <c r="C537" s="102"/>
      <c r="D537" s="102"/>
    </row>
    <row r="538" spans="3:4" x14ac:dyDescent="0.2">
      <c r="C538" s="102"/>
      <c r="D538" s="102"/>
    </row>
    <row r="539" spans="3:4" x14ac:dyDescent="0.2">
      <c r="C539" s="102"/>
      <c r="D539" s="102"/>
    </row>
    <row r="540" spans="3:4" x14ac:dyDescent="0.2">
      <c r="C540" s="102"/>
      <c r="D540" s="102"/>
    </row>
    <row r="541" spans="3:4" x14ac:dyDescent="0.2">
      <c r="C541" s="102"/>
      <c r="D541" s="102"/>
    </row>
    <row r="542" spans="3:4" x14ac:dyDescent="0.2">
      <c r="C542" s="102"/>
      <c r="D542" s="102"/>
    </row>
    <row r="543" spans="3:4" x14ac:dyDescent="0.2">
      <c r="C543" s="102"/>
      <c r="D543" s="102"/>
    </row>
    <row r="544" spans="3:4" x14ac:dyDescent="0.2">
      <c r="C544" s="102"/>
      <c r="D544" s="102"/>
    </row>
    <row r="545" spans="2:4" ht="15" x14ac:dyDescent="0.25">
      <c r="B545"/>
      <c r="C545"/>
      <c r="D545"/>
    </row>
    <row r="546" spans="2:4" ht="15" x14ac:dyDescent="0.25">
      <c r="B546"/>
      <c r="C546"/>
      <c r="D546"/>
    </row>
    <row r="547" spans="2:4" ht="15" x14ac:dyDescent="0.25">
      <c r="B547"/>
      <c r="C547"/>
      <c r="D547"/>
    </row>
    <row r="548" spans="2:4" ht="15" x14ac:dyDescent="0.25">
      <c r="B548"/>
      <c r="C548"/>
      <c r="D548"/>
    </row>
    <row r="549" spans="2:4" ht="15" x14ac:dyDescent="0.25">
      <c r="B549"/>
      <c r="C549"/>
      <c r="D549"/>
    </row>
    <row r="550" spans="2:4" ht="15" x14ac:dyDescent="0.25">
      <c r="B550"/>
      <c r="C550"/>
      <c r="D550"/>
    </row>
  </sheetData>
  <mergeCells count="10">
    <mergeCell ref="U5:W5"/>
    <mergeCell ref="G4:J4"/>
    <mergeCell ref="B18:E18"/>
    <mergeCell ref="J46:K46"/>
    <mergeCell ref="B10:E10"/>
    <mergeCell ref="G25:L25"/>
    <mergeCell ref="G31:L31"/>
    <mergeCell ref="G37:L37"/>
    <mergeCell ref="G10:K10"/>
    <mergeCell ref="G20:L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456A-285B-466E-8F1B-70002825DFB7}">
  <dimension ref="B2:T67"/>
  <sheetViews>
    <sheetView showGridLines="0" tabSelected="1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7" sqref="B37"/>
    </sheetView>
  </sheetViews>
  <sheetFormatPr defaultColWidth="9.140625" defaultRowHeight="14.25" x14ac:dyDescent="0.2"/>
  <cols>
    <col min="1" max="1" width="4.7109375" style="26" customWidth="1"/>
    <col min="2" max="2" width="30.5703125" style="26" bestFit="1" customWidth="1"/>
    <col min="3" max="3" width="4.7109375" style="26" customWidth="1"/>
    <col min="4" max="14" width="10.7109375" style="26" customWidth="1"/>
    <col min="15" max="18" width="9.140625" style="26"/>
    <col min="19" max="19" width="14.5703125" style="26" bestFit="1" customWidth="1"/>
    <col min="20" max="16384" width="9.140625" style="26"/>
  </cols>
  <sheetData>
    <row r="2" spans="2:18" x14ac:dyDescent="0.2">
      <c r="B2" s="3" t="s">
        <v>0</v>
      </c>
      <c r="C2" s="3"/>
      <c r="D2" s="3">
        <v>2025</v>
      </c>
      <c r="E2" s="27">
        <f t="shared" ref="E2:N2" si="0">D2+1</f>
        <v>2026</v>
      </c>
      <c r="F2" s="27">
        <f t="shared" si="0"/>
        <v>2027</v>
      </c>
      <c r="G2" s="27">
        <f t="shared" si="0"/>
        <v>2028</v>
      </c>
      <c r="H2" s="27">
        <f t="shared" si="0"/>
        <v>2029</v>
      </c>
      <c r="I2" s="27">
        <f t="shared" si="0"/>
        <v>2030</v>
      </c>
      <c r="J2" s="27">
        <f t="shared" si="0"/>
        <v>2031</v>
      </c>
      <c r="K2" s="27">
        <f t="shared" si="0"/>
        <v>2032</v>
      </c>
      <c r="L2" s="27">
        <f t="shared" si="0"/>
        <v>2033</v>
      </c>
      <c r="M2" s="27">
        <f t="shared" si="0"/>
        <v>2034</v>
      </c>
      <c r="N2" s="27">
        <f t="shared" si="0"/>
        <v>2035</v>
      </c>
    </row>
    <row r="4" spans="2:18" ht="15" x14ac:dyDescent="0.25">
      <c r="B4" s="24" t="s">
        <v>232</v>
      </c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4"/>
      <c r="P4" s="4"/>
      <c r="Q4" s="4"/>
      <c r="R4" s="4"/>
    </row>
    <row r="5" spans="2:18" ht="3.95" customHeight="1" x14ac:dyDescent="0.2">
      <c r="D5" s="48"/>
      <c r="E5" s="49"/>
      <c r="F5" s="49"/>
      <c r="G5" s="49"/>
      <c r="H5" s="49"/>
      <c r="I5" s="49"/>
      <c r="J5" s="49"/>
      <c r="K5" s="49"/>
      <c r="L5" s="49"/>
      <c r="M5" s="49"/>
      <c r="N5" s="49"/>
    </row>
    <row r="6" spans="2:18" x14ac:dyDescent="0.2">
      <c r="B6" s="26" t="s">
        <v>113</v>
      </c>
      <c r="D6" s="226">
        <f>'Inputs FS'!H40</f>
        <v>5401.1373423677769</v>
      </c>
      <c r="E6" s="226">
        <f>'Inputs FS'!I40</f>
        <v>6071.3582227371526</v>
      </c>
      <c r="F6" s="226">
        <f>'Inputs FS'!J40</f>
        <v>6824.7460362928969</v>
      </c>
      <c r="G6" s="226">
        <f>'Inputs FS'!K40</f>
        <v>7671.6208714987015</v>
      </c>
      <c r="H6" s="226">
        <f>'Inputs FS'!L40</f>
        <v>8623.5834246490158</v>
      </c>
      <c r="I6" s="226">
        <f>'Inputs FS'!M40</f>
        <v>9693.6739090123119</v>
      </c>
      <c r="J6" s="226">
        <f>'Inputs FS'!N40</f>
        <v>10836.683674919486</v>
      </c>
      <c r="K6" s="226">
        <f>'Inputs FS'!O40</f>
        <v>12047.542999609645</v>
      </c>
      <c r="L6" s="226">
        <f>'Inputs FS'!P40</f>
        <v>13319.295971231284</v>
      </c>
      <c r="M6" s="226">
        <f>'Inputs FS'!Q40</f>
        <v>14643.038269446988</v>
      </c>
      <c r="N6" s="226">
        <f>'Inputs FS'!R40</f>
        <v>15555.738844781619</v>
      </c>
    </row>
    <row r="7" spans="2:18" ht="15" x14ac:dyDescent="0.25">
      <c r="B7" s="34" t="s">
        <v>235</v>
      </c>
      <c r="C7" s="29"/>
      <c r="D7" s="103">
        <f>D6*(1-'Inputs FS'!H48)</f>
        <v>4332.4481590129635</v>
      </c>
      <c r="E7" s="103">
        <f>E6*(1-'Inputs FS'!I48)</f>
        <v>4838.4028388820325</v>
      </c>
      <c r="F7" s="103">
        <f>F6*(1-'Inputs FS'!J48)</f>
        <v>5403.2129662639991</v>
      </c>
      <c r="G7" s="103">
        <f>G6*(1-'Inputs FS'!K48)</f>
        <v>6033.6944390528979</v>
      </c>
      <c r="H7" s="103">
        <f>H6*(1-'Inputs FS'!L48)</f>
        <v>6737.4484503193735</v>
      </c>
      <c r="I7" s="103">
        <f>I6*(1-'Inputs FS'!M48)</f>
        <v>7522.9514295755716</v>
      </c>
      <c r="J7" s="103">
        <f>J6*(1-'Inputs FS'!N48)</f>
        <v>8353.5064605338794</v>
      </c>
      <c r="K7" s="103">
        <f>K6*(1-'Inputs FS'!O48)</f>
        <v>9224.0914343990371</v>
      </c>
      <c r="L7" s="103">
        <f>L6*(1-'Inputs FS'!P48)</f>
        <v>10128.355659358191</v>
      </c>
      <c r="M7" s="103">
        <f>M6*(1-'Inputs FS'!Q48)</f>
        <v>11058.622041077086</v>
      </c>
      <c r="N7" s="103">
        <f>N6*(1-'Inputs FS'!R48)</f>
        <v>11666.804133586213</v>
      </c>
    </row>
    <row r="8" spans="2:18" x14ac:dyDescent="0.2">
      <c r="B8" s="121" t="s">
        <v>236</v>
      </c>
      <c r="D8" s="226">
        <f>-'Inputs FS'!H23</f>
        <v>1006</v>
      </c>
      <c r="E8" s="226">
        <f>-'Inputs FS'!I23</f>
        <v>1249.5118571545033</v>
      </c>
      <c r="F8" s="226">
        <f>-'Inputs FS'!J23</f>
        <v>1339.2444881273229</v>
      </c>
      <c r="G8" s="226">
        <f>-'Inputs FS'!K23</f>
        <v>1433.3165252746212</v>
      </c>
      <c r="H8" s="226">
        <f>-'Inputs FS'!L23</f>
        <v>1572.2487083901553</v>
      </c>
      <c r="I8" s="226">
        <f>-'Inputs FS'!M23</f>
        <v>1748.8722363948793</v>
      </c>
      <c r="J8" s="226">
        <f>-'Inputs FS'!N23</f>
        <v>1941.6444054392668</v>
      </c>
      <c r="K8" s="226">
        <f>-'Inputs FS'!O23</f>
        <v>2099.1933909514137</v>
      </c>
      <c r="L8" s="226">
        <f>-'Inputs FS'!P23</f>
        <v>2266.1603549546871</v>
      </c>
      <c r="M8" s="226">
        <f>-'Inputs FS'!Q23</f>
        <v>2445.1748202689496</v>
      </c>
      <c r="N8" s="226">
        <f>-'Inputs FS'!R23</f>
        <v>2552.3013695012801</v>
      </c>
    </row>
    <row r="9" spans="2:18" x14ac:dyDescent="0.2">
      <c r="B9" s="26" t="s">
        <v>239</v>
      </c>
      <c r="D9" s="32">
        <f>-'Inputs FS'!H164</f>
        <v>-2409</v>
      </c>
      <c r="E9" s="32">
        <f>-'Inputs FS'!I164</f>
        <v>-1611.519460352913</v>
      </c>
      <c r="F9" s="32">
        <f>-'Inputs FS'!J164</f>
        <v>-1775.9716124184185</v>
      </c>
      <c r="G9" s="32">
        <f>-'Inputs FS'!K164</f>
        <v>-1957.2057587348984</v>
      </c>
      <c r="H9" s="32">
        <f>-'Inputs FS'!L164</f>
        <v>-2156.9344663165416</v>
      </c>
      <c r="I9" s="32">
        <f>-'Inputs FS'!M164</f>
        <v>-2377.0450660187244</v>
      </c>
      <c r="J9" s="32">
        <f>-'Inputs FS'!N164</f>
        <v>-2605.2249817623419</v>
      </c>
      <c r="K9" s="32">
        <f>-'Inputs FS'!O164</f>
        <v>-2839.5345079349204</v>
      </c>
      <c r="L9" s="32">
        <f>-'Inputs FS'!P164</f>
        <v>-3077.7246555856782</v>
      </c>
      <c r="M9" s="32">
        <f>-'Inputs FS'!Q164</f>
        <v>-3317.2600593245465</v>
      </c>
      <c r="N9" s="32">
        <f>-'Inputs FS'!R164</f>
        <v>-3454.9263517865156</v>
      </c>
    </row>
    <row r="10" spans="2:18" x14ac:dyDescent="0.2">
      <c r="B10" s="26" t="s">
        <v>242</v>
      </c>
      <c r="D10" s="32">
        <f>'Inputs FS'!H194</f>
        <v>-1366</v>
      </c>
      <c r="E10" s="32">
        <f>'Inputs FS'!I194</f>
        <v>211.19246653511073</v>
      </c>
      <c r="F10" s="32">
        <f>'Inputs FS'!J194</f>
        <v>-668.02864883227267</v>
      </c>
      <c r="G10" s="32">
        <f>'Inputs FS'!K194</f>
        <v>-736.39137860133451</v>
      </c>
      <c r="H10" s="32">
        <f>'Inputs FS'!L194</f>
        <v>-811.74995508298525</v>
      </c>
      <c r="I10" s="32">
        <f>'Inputs FS'!M194</f>
        <v>-894.82028719750815</v>
      </c>
      <c r="J10" s="32">
        <f>'Inputs FS'!N194</f>
        <v>-928.01542980089653</v>
      </c>
      <c r="K10" s="32">
        <f>'Inputs FS'!O194</f>
        <v>-953.36667985644453</v>
      </c>
      <c r="L10" s="32">
        <f>'Inputs FS'!P194</f>
        <v>-969.61071500973594</v>
      </c>
      <c r="M10" s="32">
        <f>'Inputs FS'!Q194</f>
        <v>-975.57555946912908</v>
      </c>
      <c r="N10" s="32">
        <f>'Inputs FS'!R194</f>
        <v>-562.4694103272268</v>
      </c>
    </row>
    <row r="11" spans="2:18" ht="15" x14ac:dyDescent="0.25">
      <c r="B11" s="125" t="s">
        <v>263</v>
      </c>
      <c r="C11" s="126"/>
      <c r="D11" s="127">
        <f>SUM(D6:D10)</f>
        <v>6964.5855013807413</v>
      </c>
      <c r="E11" s="127">
        <f t="shared" ref="E11:N11" si="1">SUM(E6:E10)</f>
        <v>10758.945924955886</v>
      </c>
      <c r="F11" s="127">
        <f t="shared" si="1"/>
        <v>11123.203229433528</v>
      </c>
      <c r="G11" s="127">
        <f t="shared" si="1"/>
        <v>12445.034698489988</v>
      </c>
      <c r="H11" s="127">
        <f t="shared" si="1"/>
        <v>13964.596161959018</v>
      </c>
      <c r="I11" s="127">
        <f t="shared" si="1"/>
        <v>15693.632221766533</v>
      </c>
      <c r="J11" s="127">
        <f t="shared" si="1"/>
        <v>17598.594129329394</v>
      </c>
      <c r="K11" s="127">
        <f t="shared" si="1"/>
        <v>19577.926637168726</v>
      </c>
      <c r="L11" s="127">
        <f t="shared" si="1"/>
        <v>21666.476614948748</v>
      </c>
      <c r="M11" s="127">
        <f t="shared" si="1"/>
        <v>23853.999511999344</v>
      </c>
      <c r="N11" s="127">
        <f t="shared" si="1"/>
        <v>25757.448585755374</v>
      </c>
    </row>
    <row r="13" spans="2:18" x14ac:dyDescent="0.2">
      <c r="B13" s="26" t="s">
        <v>212</v>
      </c>
      <c r="D13" s="107">
        <f>WACC!E23</f>
        <v>0.11525023018881339</v>
      </c>
    </row>
    <row r="14" spans="2:18" x14ac:dyDescent="0.2">
      <c r="B14" s="26" t="s">
        <v>343</v>
      </c>
      <c r="D14" s="107">
        <f>WACC!E8</f>
        <v>4.1495999999999998E-2</v>
      </c>
    </row>
    <row r="16" spans="2:18" x14ac:dyDescent="0.2">
      <c r="B16" s="26" t="s">
        <v>264</v>
      </c>
      <c r="D16" s="87">
        <f>N11*(1+D14)/(D13-D14)</f>
        <v>363725.30231274426</v>
      </c>
    </row>
    <row r="17" spans="2:14" x14ac:dyDescent="0.2">
      <c r="B17" s="26" t="s">
        <v>265</v>
      </c>
      <c r="D17" s="87">
        <f ca="1">D16*N23</f>
        <v>129043.59657328209</v>
      </c>
    </row>
    <row r="19" spans="2:14" x14ac:dyDescent="0.2">
      <c r="B19" s="26" t="s">
        <v>266</v>
      </c>
      <c r="D19" s="128">
        <f ca="1">TODAY()</f>
        <v>46204</v>
      </c>
    </row>
    <row r="20" spans="2:14" x14ac:dyDescent="0.2">
      <c r="B20" s="26" t="s">
        <v>267</v>
      </c>
      <c r="D20" s="227">
        <v>46387</v>
      </c>
    </row>
    <row r="22" spans="2:14" x14ac:dyDescent="0.2">
      <c r="B22" s="26" t="s">
        <v>268</v>
      </c>
      <c r="E22" s="57">
        <f ca="1">YEARFRAC($D$19,$D$20)</f>
        <v>0.5</v>
      </c>
      <c r="F22" s="57">
        <f ca="1">E22+1</f>
        <v>1.5</v>
      </c>
      <c r="G22" s="57">
        <f t="shared" ref="G22:N22" ca="1" si="2">F22+1</f>
        <v>2.5</v>
      </c>
      <c r="H22" s="57">
        <f t="shared" ca="1" si="2"/>
        <v>3.5</v>
      </c>
      <c r="I22" s="57">
        <f t="shared" ca="1" si="2"/>
        <v>4.5</v>
      </c>
      <c r="J22" s="57">
        <f t="shared" ca="1" si="2"/>
        <v>5.5</v>
      </c>
      <c r="K22" s="57">
        <f t="shared" ca="1" si="2"/>
        <v>6.5</v>
      </c>
      <c r="L22" s="57">
        <f t="shared" ca="1" si="2"/>
        <v>7.5</v>
      </c>
      <c r="M22" s="57">
        <f t="shared" ca="1" si="2"/>
        <v>8.5</v>
      </c>
      <c r="N22" s="57">
        <f t="shared" ca="1" si="2"/>
        <v>9.5</v>
      </c>
    </row>
    <row r="23" spans="2:14" x14ac:dyDescent="0.2">
      <c r="B23" s="26" t="s">
        <v>269</v>
      </c>
      <c r="E23" s="66">
        <f ca="1">1/(1+$D$13)^DCF!E22</f>
        <v>0.94692119875180447</v>
      </c>
      <c r="F23" s="66">
        <f ca="1">1/(1+$D$13)^DCF!F22</f>
        <v>0.84906613163530975</v>
      </c>
      <c r="G23" s="66">
        <f ca="1">1/(1+$D$13)^DCF!G22</f>
        <v>0.76132343096809907</v>
      </c>
      <c r="H23" s="66">
        <f ca="1">1/(1+$D$13)^DCF!H22</f>
        <v>0.68264808234041419</v>
      </c>
      <c r="I23" s="66">
        <f ca="1">1/(1+$D$13)^DCF!I22</f>
        <v>0.61210306338591025</v>
      </c>
      <c r="J23" s="66">
        <f ca="1">1/(1+$D$13)^DCF!J22</f>
        <v>0.54884818385760858</v>
      </c>
      <c r="K23" s="66">
        <f ca="1">1/(1+$D$13)^DCF!K22</f>
        <v>0.49213007897311789</v>
      </c>
      <c r="L23" s="66">
        <f ca="1">1/(1+$D$13)^DCF!L22</f>
        <v>0.44127323684999337</v>
      </c>
      <c r="M23" s="66">
        <f ca="1">1/(1+$D$13)^DCF!M22</f>
        <v>0.39567195316811116</v>
      </c>
      <c r="N23" s="66">
        <f ca="1">1/(1+$D$13)^DCF!N22</f>
        <v>0.35478311723918976</v>
      </c>
    </row>
    <row r="25" spans="2:14" x14ac:dyDescent="0.2">
      <c r="B25" s="26" t="s">
        <v>270</v>
      </c>
      <c r="E25" s="87">
        <f ca="1">E11*E23</f>
        <v>10187.873972565068</v>
      </c>
      <c r="F25" s="87">
        <f t="shared" ref="F25:N25" ca="1" si="3">F11*F23</f>
        <v>9444.3351374085105</v>
      </c>
      <c r="G25" s="87">
        <f t="shared" ca="1" si="3"/>
        <v>9474.6965151714394</v>
      </c>
      <c r="H25" s="87">
        <f t="shared" ca="1" si="3"/>
        <v>9532.904790619632</v>
      </c>
      <c r="I25" s="87">
        <f t="shared" ca="1" si="3"/>
        <v>9606.1203585951243</v>
      </c>
      <c r="J25" s="87">
        <f t="shared" ca="1" si="3"/>
        <v>9658.9564263296106</v>
      </c>
      <c r="K25" s="87">
        <f t="shared" ca="1" si="3"/>
        <v>9634.8865820797528</v>
      </c>
      <c r="L25" s="87">
        <f t="shared" ca="1" si="3"/>
        <v>9560.836267013121</v>
      </c>
      <c r="M25" s="87">
        <f t="shared" ca="1" si="3"/>
        <v>9438.3585777839508</v>
      </c>
      <c r="N25" s="87">
        <f t="shared" ca="1" si="3"/>
        <v>9138.3079013824517</v>
      </c>
    </row>
    <row r="26" spans="2:14" x14ac:dyDescent="0.2">
      <c r="E26" s="87"/>
      <c r="F26" s="87"/>
      <c r="G26" s="87"/>
      <c r="H26" s="87"/>
      <c r="I26" s="87"/>
      <c r="J26" s="87"/>
      <c r="K26" s="87"/>
      <c r="L26" s="87"/>
      <c r="M26" s="87"/>
      <c r="N26" s="87"/>
    </row>
    <row r="27" spans="2:14" x14ac:dyDescent="0.2">
      <c r="B27" s="26" t="s">
        <v>271</v>
      </c>
      <c r="E27" s="122">
        <f ca="1">SUM(E25:N25)+D17</f>
        <v>224720.87310223072</v>
      </c>
      <c r="F27" s="87"/>
      <c r="G27" s="87"/>
      <c r="H27" s="87"/>
      <c r="I27" s="87"/>
      <c r="J27" s="87"/>
      <c r="K27" s="87"/>
      <c r="L27" s="87"/>
      <c r="M27" s="87"/>
      <c r="N27" s="87"/>
    </row>
    <row r="28" spans="2:14" x14ac:dyDescent="0.2">
      <c r="B28" s="26" t="s">
        <v>272</v>
      </c>
      <c r="E28" s="122">
        <f>-('Inputs FS'!H102+'Inputs FS'!H105+'Inputs FS'!H111+'Inputs FS'!H114)</f>
        <v>-10532</v>
      </c>
      <c r="F28" s="87"/>
      <c r="G28" s="87"/>
      <c r="H28" s="87"/>
      <c r="I28" s="87"/>
      <c r="J28" s="87"/>
      <c r="K28" s="87"/>
      <c r="L28" s="87"/>
      <c r="M28" s="87"/>
      <c r="N28" s="87"/>
    </row>
    <row r="29" spans="2:14" x14ac:dyDescent="0.2">
      <c r="B29" s="26" t="s">
        <v>273</v>
      </c>
      <c r="E29" s="32">
        <f>'Inputs FS'!H84</f>
        <v>803</v>
      </c>
    </row>
    <row r="30" spans="2:14" ht="15" x14ac:dyDescent="0.25">
      <c r="B30" s="125" t="s">
        <v>274</v>
      </c>
      <c r="C30" s="126"/>
      <c r="D30" s="126"/>
      <c r="E30" s="127">
        <f ca="1">SUM(E27:E29)</f>
        <v>214991.87310223072</v>
      </c>
    </row>
    <row r="31" spans="2:14" ht="15" x14ac:dyDescent="0.25">
      <c r="B31" s="129" t="s">
        <v>328</v>
      </c>
      <c r="C31" s="29"/>
      <c r="D31" s="29"/>
      <c r="E31" s="108">
        <f>D45</f>
        <v>390.201065671572</v>
      </c>
      <c r="H31" s="66"/>
      <c r="J31" s="51"/>
    </row>
    <row r="32" spans="2:14" ht="15" x14ac:dyDescent="0.25">
      <c r="B32" s="196" t="s">
        <v>341</v>
      </c>
      <c r="C32" s="197"/>
      <c r="D32" s="197"/>
      <c r="E32" s="198">
        <f ca="1">E30/E31</f>
        <v>550.97715515515029</v>
      </c>
      <c r="J32" s="51"/>
    </row>
    <row r="33" spans="2:20" x14ac:dyDescent="0.2">
      <c r="B33" s="129" t="s">
        <v>335</v>
      </c>
      <c r="E33" s="224">
        <v>427.43</v>
      </c>
      <c r="S33" s="85"/>
    </row>
    <row r="34" spans="2:20" ht="3.95" customHeight="1" x14ac:dyDescent="0.2">
      <c r="B34" s="129"/>
      <c r="E34" s="193"/>
      <c r="S34" s="85"/>
    </row>
    <row r="35" spans="2:20" ht="15" x14ac:dyDescent="0.25">
      <c r="B35" s="130" t="s">
        <v>275</v>
      </c>
      <c r="C35" s="130"/>
      <c r="D35" s="130"/>
      <c r="E35" s="131">
        <f ca="1">E32/E33-1</f>
        <v>0.28904652260054342</v>
      </c>
      <c r="T35" s="66"/>
    </row>
    <row r="37" spans="2:20" ht="15" x14ac:dyDescent="0.25">
      <c r="B37" s="140" t="s">
        <v>329</v>
      </c>
      <c r="C37" s="141"/>
      <c r="D37" s="141"/>
      <c r="F37" s="140" t="s">
        <v>333</v>
      </c>
      <c r="G37" s="141"/>
      <c r="H37" s="141"/>
      <c r="I37" s="141"/>
    </row>
    <row r="38" spans="2:20" ht="3.95" customHeight="1" x14ac:dyDescent="0.2">
      <c r="E38" s="66"/>
    </row>
    <row r="39" spans="2:20" x14ac:dyDescent="0.2">
      <c r="B39" s="26" t="s">
        <v>330</v>
      </c>
      <c r="D39" s="224">
        <v>388.3</v>
      </c>
      <c r="F39" s="26" t="s">
        <v>279</v>
      </c>
      <c r="I39" s="224">
        <v>1.6</v>
      </c>
    </row>
    <row r="40" spans="2:20" x14ac:dyDescent="0.2">
      <c r="B40" s="26" t="s">
        <v>331</v>
      </c>
      <c r="D40" s="224">
        <v>0.01</v>
      </c>
      <c r="F40" s="26" t="s">
        <v>334</v>
      </c>
      <c r="I40" s="224">
        <v>119.93</v>
      </c>
    </row>
    <row r="41" spans="2:20" x14ac:dyDescent="0.2">
      <c r="B41" s="26" t="s">
        <v>332</v>
      </c>
      <c r="D41" s="224">
        <v>0.04</v>
      </c>
      <c r="F41" s="26" t="s">
        <v>335</v>
      </c>
      <c r="I41" s="228">
        <f>E33</f>
        <v>427.43</v>
      </c>
    </row>
    <row r="42" spans="2:20" x14ac:dyDescent="0.2">
      <c r="B42" s="26" t="s">
        <v>277</v>
      </c>
      <c r="D42" s="224">
        <v>0.6</v>
      </c>
      <c r="F42" s="26" t="s">
        <v>336</v>
      </c>
      <c r="I42" s="137">
        <f>I39*I40</f>
        <v>191.88800000000003</v>
      </c>
    </row>
    <row r="43" spans="2:20" x14ac:dyDescent="0.2">
      <c r="B43" s="26" t="s">
        <v>278</v>
      </c>
      <c r="D43" s="224">
        <v>0.1</v>
      </c>
      <c r="F43" s="26" t="s">
        <v>337</v>
      </c>
      <c r="I43" s="137">
        <f>-I42/I41</f>
        <v>-0.44893432842804676</v>
      </c>
    </row>
    <row r="44" spans="2:20" ht="15.75" thickBot="1" x14ac:dyDescent="0.3">
      <c r="B44" s="26" t="s">
        <v>340</v>
      </c>
      <c r="D44" s="228">
        <f>I44</f>
        <v>1.1510656715719534</v>
      </c>
      <c r="F44" s="58" t="s">
        <v>339</v>
      </c>
      <c r="G44" s="58"/>
      <c r="H44" s="58"/>
      <c r="I44" s="195">
        <f>I39+I43</f>
        <v>1.1510656715719534</v>
      </c>
    </row>
    <row r="45" spans="2:20" ht="15.75" thickBot="1" x14ac:dyDescent="0.3">
      <c r="B45" s="58" t="s">
        <v>338</v>
      </c>
      <c r="C45" s="58"/>
      <c r="D45" s="194">
        <f>SUM(D39:D44)</f>
        <v>390.201065671572</v>
      </c>
    </row>
    <row r="48" spans="2:20" ht="15" x14ac:dyDescent="0.25">
      <c r="B48" s="250" t="s">
        <v>342</v>
      </c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</row>
    <row r="50" spans="4:10" ht="15.95" customHeight="1" x14ac:dyDescent="0.2">
      <c r="D50" s="199"/>
      <c r="E50" s="251" t="s">
        <v>212</v>
      </c>
      <c r="F50" s="251"/>
      <c r="G50" s="251"/>
      <c r="H50" s="251"/>
      <c r="I50" s="251"/>
      <c r="J50" s="252"/>
    </row>
    <row r="51" spans="4:10" ht="15.95" customHeight="1" x14ac:dyDescent="0.25">
      <c r="D51" s="253" t="s">
        <v>343</v>
      </c>
      <c r="E51" s="215">
        <f ca="1">E32</f>
        <v>550.97715515515029</v>
      </c>
      <c r="F51" s="200">
        <f>G51-0.5%</f>
        <v>0.10510710720792472</v>
      </c>
      <c r="G51" s="200">
        <f>H51-0.5%</f>
        <v>0.11010710720792473</v>
      </c>
      <c r="H51" s="201">
        <v>0.11510710720792473</v>
      </c>
      <c r="I51" s="200">
        <f>H51+0.5%</f>
        <v>0.12010710720792474</v>
      </c>
      <c r="J51" s="202">
        <f>I51+0.5%</f>
        <v>0.12510710720792473</v>
      </c>
    </row>
    <row r="52" spans="4:10" ht="15.95" customHeight="1" x14ac:dyDescent="0.2">
      <c r="D52" s="253"/>
      <c r="E52" s="203">
        <f>E53-0.5%</f>
        <v>3.0911000000000004E-2</v>
      </c>
      <c r="F52" s="204">
        <f t="dataTable" ref="F52:J56" dt2D="1" dtr="1" r1="D13" r2="D14" ca="1"/>
        <v>586.61526399246088</v>
      </c>
      <c r="G52" s="205">
        <v>544.50995974697537</v>
      </c>
      <c r="H52" s="205">
        <v>507.52447816550489</v>
      </c>
      <c r="I52" s="205">
        <v>474.7936700507945</v>
      </c>
      <c r="J52" s="206">
        <v>445.63624466376103</v>
      </c>
    </row>
    <row r="53" spans="4:10" ht="15.95" customHeight="1" x14ac:dyDescent="0.2">
      <c r="D53" s="253"/>
      <c r="E53" s="203">
        <f>E54-0.5%</f>
        <v>3.5911000000000005E-2</v>
      </c>
      <c r="F53" s="207">
        <v>614.10587863903686</v>
      </c>
      <c r="G53" s="208">
        <v>567.62517453073735</v>
      </c>
      <c r="H53" s="208">
        <v>527.13086580843321</v>
      </c>
      <c r="I53" s="208">
        <v>491.5523683254446</v>
      </c>
      <c r="J53" s="209">
        <v>460.05931295409727</v>
      </c>
    </row>
    <row r="54" spans="4:10" ht="15.95" customHeight="1" x14ac:dyDescent="0.25">
      <c r="D54" s="253"/>
      <c r="E54" s="210">
        <v>4.0911000000000003E-2</v>
      </c>
      <c r="F54" s="207">
        <v>645.87878014726562</v>
      </c>
      <c r="G54" s="208">
        <v>594.0809261909892</v>
      </c>
      <c r="H54" s="208">
        <v>549.37976238892372</v>
      </c>
      <c r="I54" s="208">
        <v>510.42716786636663</v>
      </c>
      <c r="J54" s="209">
        <v>476.19541392119601</v>
      </c>
    </row>
    <row r="55" spans="4:10" ht="15.95" customHeight="1" x14ac:dyDescent="0.2">
      <c r="D55" s="253"/>
      <c r="E55" s="203">
        <f>E54+0.5%</f>
        <v>4.5911E-2</v>
      </c>
      <c r="F55" s="207">
        <v>683.01907877108977</v>
      </c>
      <c r="G55" s="208">
        <v>624.6577613266868</v>
      </c>
      <c r="H55" s="208">
        <v>574.84399831121243</v>
      </c>
      <c r="I55" s="208">
        <v>531.84587439260099</v>
      </c>
      <c r="J55" s="209">
        <v>494.36900151939074</v>
      </c>
    </row>
    <row r="56" spans="4:10" ht="15.95" customHeight="1" x14ac:dyDescent="0.2">
      <c r="D56" s="254"/>
      <c r="E56" s="211">
        <f>E55+0.5%</f>
        <v>5.0910999999999998E-2</v>
      </c>
      <c r="F56" s="212">
        <v>727.01232321283669</v>
      </c>
      <c r="G56" s="213">
        <v>660.39994205315054</v>
      </c>
      <c r="H56" s="213">
        <v>604.2748666400131</v>
      </c>
      <c r="I56" s="213">
        <v>556.35994385043421</v>
      </c>
      <c r="J56" s="214">
        <v>514.99198818744003</v>
      </c>
    </row>
    <row r="57" spans="4:10" ht="15.95" customHeight="1" x14ac:dyDescent="0.2">
      <c r="D57" s="220"/>
      <c r="E57" s="221"/>
      <c r="F57" s="208"/>
      <c r="G57" s="208"/>
      <c r="H57" s="208"/>
      <c r="I57" s="208"/>
      <c r="J57" s="208"/>
    </row>
    <row r="59" spans="4:10" ht="15" x14ac:dyDescent="0.25">
      <c r="D59" s="250" t="s">
        <v>344</v>
      </c>
      <c r="E59" s="250"/>
      <c r="F59" s="250"/>
      <c r="G59" s="250"/>
      <c r="H59" s="250"/>
      <c r="I59" s="250"/>
      <c r="J59" s="250"/>
    </row>
    <row r="60" spans="4:10" x14ac:dyDescent="0.2">
      <c r="G60" s="66"/>
    </row>
    <row r="61" spans="4:10" ht="15" x14ac:dyDescent="0.2">
      <c r="D61" s="199"/>
      <c r="E61" s="251" t="s">
        <v>212</v>
      </c>
      <c r="F61" s="251"/>
      <c r="G61" s="251"/>
      <c r="H61" s="251"/>
      <c r="I61" s="251"/>
      <c r="J61" s="252"/>
    </row>
    <row r="62" spans="4:10" ht="15" x14ac:dyDescent="0.25">
      <c r="D62" s="253" t="s">
        <v>343</v>
      </c>
      <c r="E62" s="215">
        <f>E33</f>
        <v>427.43</v>
      </c>
      <c r="F62" s="200">
        <f>G62-0.5%</f>
        <v>0.106405152316307</v>
      </c>
      <c r="G62" s="200">
        <f>H62-0.5%</f>
        <v>0.111405152316307</v>
      </c>
      <c r="H62" s="201">
        <v>0.11640515231630701</v>
      </c>
      <c r="I62" s="200">
        <f>H62+0.5%</f>
        <v>0.12140515231630701</v>
      </c>
      <c r="J62" s="202">
        <f>I62+0.5%</f>
        <v>0.126405152316307</v>
      </c>
    </row>
    <row r="63" spans="4:10" x14ac:dyDescent="0.2">
      <c r="D63" s="253"/>
      <c r="E63" s="203">
        <f>E64-0.5%</f>
        <v>3.2241000000000006E-2</v>
      </c>
      <c r="F63" s="216">
        <f t="shared" ref="F63:J67" si="4">F52/$E$62-1</f>
        <v>0.37242417236146474</v>
      </c>
      <c r="G63" s="216">
        <f t="shared" si="4"/>
        <v>0.27391610262961263</v>
      </c>
      <c r="H63" s="216">
        <f t="shared" si="4"/>
        <v>0.18738618759915049</v>
      </c>
      <c r="I63" s="216">
        <f t="shared" si="4"/>
        <v>0.11081035503075243</v>
      </c>
      <c r="J63" s="217">
        <f t="shared" si="4"/>
        <v>4.2594681383527178E-2</v>
      </c>
    </row>
    <row r="64" spans="4:10" x14ac:dyDescent="0.2">
      <c r="D64" s="253"/>
      <c r="E64" s="203">
        <f>E65-0.5%</f>
        <v>3.7241000000000003E-2</v>
      </c>
      <c r="F64" s="216">
        <f t="shared" si="4"/>
        <v>0.43674023498359227</v>
      </c>
      <c r="G64" s="216">
        <f t="shared" si="4"/>
        <v>0.3279956356145739</v>
      </c>
      <c r="H64" s="216">
        <f t="shared" si="4"/>
        <v>0.23325659361400275</v>
      </c>
      <c r="I64" s="216">
        <f t="shared" si="4"/>
        <v>0.15001840845388625</v>
      </c>
      <c r="J64" s="217">
        <f t="shared" si="4"/>
        <v>7.6338378106584059E-2</v>
      </c>
    </row>
    <row r="65" spans="4:10" ht="15" x14ac:dyDescent="0.25">
      <c r="D65" s="253"/>
      <c r="E65" s="210">
        <v>4.2241000000000001E-2</v>
      </c>
      <c r="F65" s="216">
        <f t="shared" si="4"/>
        <v>0.51107498338269575</v>
      </c>
      <c r="G65" s="216">
        <f t="shared" si="4"/>
        <v>0.38989056966284341</v>
      </c>
      <c r="H65" s="216">
        <f t="shared" si="4"/>
        <v>0.28530931939481019</v>
      </c>
      <c r="I65" s="216">
        <f t="shared" si="4"/>
        <v>0.19417721700949064</v>
      </c>
      <c r="J65" s="217">
        <f t="shared" si="4"/>
        <v>0.11408982505017429</v>
      </c>
    </row>
    <row r="66" spans="4:10" x14ac:dyDescent="0.2">
      <c r="D66" s="253"/>
      <c r="E66" s="203">
        <f>E65+0.5%</f>
        <v>4.7240999999999998E-2</v>
      </c>
      <c r="F66" s="216">
        <f t="shared" si="4"/>
        <v>0.59796710284979948</v>
      </c>
      <c r="G66" s="216">
        <f t="shared" si="4"/>
        <v>0.46142704378889365</v>
      </c>
      <c r="H66" s="216">
        <f t="shared" si="4"/>
        <v>0.3448845385471595</v>
      </c>
      <c r="I66" s="216">
        <f t="shared" si="4"/>
        <v>0.24428765971644717</v>
      </c>
      <c r="J66" s="217">
        <f t="shared" si="4"/>
        <v>0.15660810312657203</v>
      </c>
    </row>
    <row r="67" spans="4:10" x14ac:dyDescent="0.2">
      <c r="D67" s="254"/>
      <c r="E67" s="211">
        <f>E66+0.5%</f>
        <v>5.2240999999999996E-2</v>
      </c>
      <c r="F67" s="218">
        <f t="shared" si="4"/>
        <v>0.70089213020339391</v>
      </c>
      <c r="G67" s="218">
        <f t="shared" si="4"/>
        <v>0.54504817643392034</v>
      </c>
      <c r="H67" s="218">
        <f t="shared" si="4"/>
        <v>0.41373994955902282</v>
      </c>
      <c r="I67" s="218">
        <f t="shared" si="4"/>
        <v>0.30163990326002899</v>
      </c>
      <c r="J67" s="219">
        <f t="shared" si="4"/>
        <v>0.20485690800233969</v>
      </c>
    </row>
  </sheetData>
  <mergeCells count="6">
    <mergeCell ref="D59:J59"/>
    <mergeCell ref="E61:J61"/>
    <mergeCell ref="D62:D67"/>
    <mergeCell ref="B48:N48"/>
    <mergeCell ref="D51:D56"/>
    <mergeCell ref="E50:J50"/>
  </mergeCells>
  <conditionalFormatting sqref="F52:J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3:J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A98C-501C-4C74-A918-95F626D920E2}">
  <dimension ref="A2:W75"/>
  <sheetViews>
    <sheetView showGridLines="0" topLeftCell="A4" zoomScaleNormal="100" workbookViewId="0">
      <selection activeCell="P35" sqref="P35:U35"/>
    </sheetView>
  </sheetViews>
  <sheetFormatPr defaultColWidth="11.7109375" defaultRowHeight="14.25" x14ac:dyDescent="0.2"/>
  <cols>
    <col min="1" max="1" width="4.7109375" style="26" customWidth="1"/>
    <col min="2" max="2" width="20" style="26" bestFit="1" customWidth="1"/>
    <col min="3" max="3" width="4.5703125" style="26" customWidth="1"/>
    <col min="4" max="16" width="11.7109375" style="26"/>
    <col min="17" max="17" width="12.7109375" style="26" customWidth="1"/>
    <col min="18" max="16384" width="11.7109375" style="26"/>
  </cols>
  <sheetData>
    <row r="2" spans="1:22" ht="15" x14ac:dyDescent="0.25">
      <c r="B2" s="24" t="s">
        <v>280</v>
      </c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/>
    </row>
    <row r="4" spans="1:22" ht="15" x14ac:dyDescent="0.25">
      <c r="B4" s="259" t="s">
        <v>281</v>
      </c>
      <c r="D4" s="258" t="s">
        <v>286</v>
      </c>
      <c r="E4" s="258"/>
      <c r="F4" s="258"/>
      <c r="G4" s="258"/>
      <c r="H4" s="258"/>
      <c r="I4" s="29"/>
      <c r="J4" s="258" t="s">
        <v>296</v>
      </c>
      <c r="K4" s="258"/>
      <c r="L4" s="258"/>
      <c r="M4" s="258"/>
      <c r="N4" s="258"/>
      <c r="O4" s="29"/>
      <c r="P4" s="258" t="s">
        <v>292</v>
      </c>
      <c r="Q4" s="258"/>
      <c r="R4" s="258"/>
      <c r="S4" s="258"/>
      <c r="T4" s="258"/>
      <c r="U4" s="258"/>
    </row>
    <row r="5" spans="1:22" s="136" customFormat="1" ht="30" x14ac:dyDescent="0.2">
      <c r="A5" s="26"/>
      <c r="B5" s="259"/>
      <c r="C5" s="26"/>
      <c r="D5" s="145" t="s">
        <v>285</v>
      </c>
      <c r="E5" s="145" t="s">
        <v>284</v>
      </c>
      <c r="F5" s="145" t="s">
        <v>282</v>
      </c>
      <c r="G5" s="145" t="s">
        <v>283</v>
      </c>
      <c r="H5" s="145" t="s">
        <v>271</v>
      </c>
      <c r="I5" s="138"/>
      <c r="J5" s="145" t="s">
        <v>111</v>
      </c>
      <c r="K5" s="145" t="s">
        <v>67</v>
      </c>
      <c r="L5" s="145" t="s">
        <v>11</v>
      </c>
      <c r="M5" s="145" t="s">
        <v>306</v>
      </c>
      <c r="N5" s="145" t="s">
        <v>307</v>
      </c>
      <c r="O5" s="138"/>
      <c r="P5" s="145" t="s">
        <v>287</v>
      </c>
      <c r="Q5" s="145" t="s">
        <v>288</v>
      </c>
      <c r="R5" s="145" t="s">
        <v>289</v>
      </c>
      <c r="S5" s="145" t="s">
        <v>290</v>
      </c>
      <c r="T5" s="145" t="s">
        <v>291</v>
      </c>
      <c r="U5" s="145" t="s">
        <v>294</v>
      </c>
    </row>
    <row r="6" spans="1:22" s="136" customFormat="1" ht="9.9499999999999993" customHeight="1" x14ac:dyDescent="0.2">
      <c r="A6" s="26"/>
      <c r="B6" s="139"/>
      <c r="C6" s="26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</row>
    <row r="7" spans="1:22" s="136" customFormat="1" ht="15" customHeight="1" x14ac:dyDescent="0.2">
      <c r="A7" s="26"/>
      <c r="B7" s="162" t="s">
        <v>310</v>
      </c>
      <c r="C7" s="163"/>
      <c r="D7" s="164" t="s">
        <v>311</v>
      </c>
      <c r="E7" s="165">
        <v>420.2</v>
      </c>
      <c r="F7" s="166">
        <v>388.3</v>
      </c>
      <c r="G7" s="166">
        <v>163155.9</v>
      </c>
      <c r="H7" s="166">
        <v>184281.9</v>
      </c>
      <c r="I7" s="166"/>
      <c r="J7" s="166">
        <v>28522</v>
      </c>
      <c r="K7" s="166">
        <v>6758</v>
      </c>
      <c r="L7" s="166">
        <v>5712</v>
      </c>
      <c r="M7" s="165">
        <v>11.21</v>
      </c>
      <c r="N7" s="165">
        <v>50.79</v>
      </c>
      <c r="O7" s="166"/>
      <c r="P7" s="167">
        <f>H7/J7</f>
        <v>6.4610441063039055</v>
      </c>
      <c r="Q7" s="167">
        <f>IF(K7&gt;0,H7/K7,0)</f>
        <v>27.268703758508433</v>
      </c>
      <c r="R7" s="167">
        <f>IF(L7&gt;0,H7/L7,0)</f>
        <v>32.262237394957985</v>
      </c>
      <c r="S7" s="167">
        <f>IF(M7&gt;0,E7/M7,0)</f>
        <v>37.484388938447808</v>
      </c>
      <c r="T7" s="167">
        <f>E7/N7</f>
        <v>8.2732821421539668</v>
      </c>
      <c r="U7" s="168">
        <f>E7/(J7/F7)</f>
        <v>5.7206247808709065</v>
      </c>
    </row>
    <row r="8" spans="1:22" s="136" customFormat="1" ht="3.95" customHeight="1" x14ac:dyDescent="0.2">
      <c r="A8" s="26"/>
      <c r="B8" s="139"/>
      <c r="C8" s="26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</row>
    <row r="9" spans="1:22" ht="15" x14ac:dyDescent="0.25">
      <c r="B9" s="140" t="s">
        <v>183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</row>
    <row r="10" spans="1:22" x14ac:dyDescent="0.2">
      <c r="B10" s="26" t="s">
        <v>181</v>
      </c>
      <c r="D10" s="30" t="s">
        <v>293</v>
      </c>
      <c r="E10" s="137">
        <v>326.10000000000002</v>
      </c>
      <c r="F10" s="6">
        <v>1043.3</v>
      </c>
      <c r="G10" s="6">
        <v>340310</v>
      </c>
      <c r="H10" s="6">
        <v>388038.5</v>
      </c>
      <c r="I10" s="6"/>
      <c r="J10" s="6">
        <v>48313</v>
      </c>
      <c r="K10" s="26">
        <v>9931</v>
      </c>
      <c r="L10" s="6">
        <v>8335</v>
      </c>
      <c r="M10" s="147">
        <v>6.86</v>
      </c>
      <c r="N10" s="147">
        <v>17.309999999999999</v>
      </c>
      <c r="O10" s="6"/>
      <c r="P10" s="57">
        <f>H10/J10</f>
        <v>8.031761637654462</v>
      </c>
      <c r="Q10" s="57">
        <f>IF(K10&gt;0,H10/K10,0)</f>
        <v>39.073456852280735</v>
      </c>
      <c r="R10" s="57">
        <f>IF(L10&gt;0,H10/L10,0)</f>
        <v>46.555308938212356</v>
      </c>
      <c r="S10" s="57">
        <f>IF(M10&gt;0,E10/M10,0)</f>
        <v>47.536443148688051</v>
      </c>
      <c r="T10" s="57">
        <f>E10/N10</f>
        <v>18.838821490467939</v>
      </c>
      <c r="U10" s="57">
        <f>E10/(J10/F10)</f>
        <v>7.0419996688261959</v>
      </c>
    </row>
    <row r="11" spans="1:22" x14ac:dyDescent="0.2">
      <c r="B11" s="26" t="s">
        <v>320</v>
      </c>
      <c r="D11" s="30" t="s">
        <v>321</v>
      </c>
      <c r="E11" s="137">
        <v>251.9</v>
      </c>
      <c r="F11" s="6">
        <v>400.1</v>
      </c>
      <c r="G11" s="6">
        <v>100787.1</v>
      </c>
      <c r="H11" s="6">
        <v>103200.1</v>
      </c>
      <c r="I11" s="6"/>
      <c r="J11" s="6">
        <v>8623</v>
      </c>
      <c r="K11" s="6">
        <v>2677</v>
      </c>
      <c r="L11" s="6">
        <v>2314</v>
      </c>
      <c r="M11" s="137">
        <v>4.1500000000000004</v>
      </c>
      <c r="N11" s="147">
        <v>13.77</v>
      </c>
      <c r="O11" s="6"/>
      <c r="P11" s="57">
        <f>H11/J11</f>
        <v>11.968004174881132</v>
      </c>
      <c r="Q11" s="57">
        <f>IF(K11&gt;0,H11/K11,0)</f>
        <v>38.550653716847222</v>
      </c>
      <c r="R11" s="57">
        <f>IF(L11&gt;0,H11/L11,0)</f>
        <v>44.598141745894559</v>
      </c>
      <c r="S11" s="57">
        <f>IF(M11&gt;0,E11/M11,0)</f>
        <v>60.69879518072289</v>
      </c>
      <c r="T11" s="57">
        <f>E11/N11</f>
        <v>18.293391430646334</v>
      </c>
      <c r="U11" s="57">
        <f>E11/(J11/F11)</f>
        <v>11.687949669488578</v>
      </c>
    </row>
    <row r="12" spans="1:22" x14ac:dyDescent="0.2">
      <c r="B12" s="26" t="s">
        <v>194</v>
      </c>
      <c r="D12" s="30" t="s">
        <v>295</v>
      </c>
      <c r="E12" s="137">
        <v>205.69</v>
      </c>
      <c r="F12" s="6">
        <v>792.3</v>
      </c>
      <c r="G12" s="6">
        <v>162672</v>
      </c>
      <c r="H12" s="6">
        <v>147288</v>
      </c>
      <c r="I12" s="6"/>
      <c r="J12" s="6">
        <v>162994.20000000001</v>
      </c>
      <c r="K12" s="6">
        <v>9399.7999999999993</v>
      </c>
      <c r="L12" s="6">
        <v>5698.8</v>
      </c>
      <c r="M12" s="147">
        <v>7.68</v>
      </c>
      <c r="N12" s="147">
        <v>38.51</v>
      </c>
      <c r="O12" s="6"/>
      <c r="P12" s="57">
        <f>H12/J12</f>
        <v>0.90363951600731796</v>
      </c>
      <c r="Q12" s="57">
        <f>IF(K12&gt;0,H12/K12,0)</f>
        <v>15.669269558926787</v>
      </c>
      <c r="R12" s="57">
        <f>IF(L12&gt;0,H12/L12,0)</f>
        <v>25.845441145504317</v>
      </c>
      <c r="S12" s="57">
        <f>IF(M12&gt;0,E12/M12,0)</f>
        <v>26.782552083333336</v>
      </c>
      <c r="T12" s="57">
        <f>E12/N12</f>
        <v>5.3412100753051162</v>
      </c>
      <c r="U12" s="57">
        <f>E12/(J12/F12)</f>
        <v>0.99984040536411711</v>
      </c>
    </row>
    <row r="13" spans="1:22" x14ac:dyDescent="0.2">
      <c r="B13" s="26" t="s">
        <v>195</v>
      </c>
      <c r="D13" s="30" t="s">
        <v>297</v>
      </c>
      <c r="E13" s="137">
        <v>16.926880000000001</v>
      </c>
      <c r="F13" s="6">
        <v>8365.1</v>
      </c>
      <c r="G13" s="6">
        <v>141631.30000000002</v>
      </c>
      <c r="H13" s="6">
        <v>139025</v>
      </c>
      <c r="I13" s="6"/>
      <c r="J13" s="6">
        <v>27970.400000000001</v>
      </c>
      <c r="K13" s="6">
        <v>5722.8</v>
      </c>
      <c r="L13" s="6">
        <v>4748.2</v>
      </c>
      <c r="M13" s="147">
        <v>0.93</v>
      </c>
      <c r="N13" s="147">
        <v>0.43</v>
      </c>
      <c r="O13" s="6"/>
      <c r="P13" s="57">
        <f>H13/J13</f>
        <v>4.9704330292022991</v>
      </c>
      <c r="Q13" s="57">
        <f>IF(K13&gt;0,H13/K13,0)</f>
        <v>24.293178164534844</v>
      </c>
      <c r="R13" s="57">
        <f>IF(L13&gt;0,H13/L13,0)</f>
        <v>29.27951644833832</v>
      </c>
      <c r="S13" s="57">
        <f>IF(M13&gt;0,E13/M13,0)</f>
        <v>18.20094623655914</v>
      </c>
      <c r="T13" s="57">
        <f>E13/N13</f>
        <v>39.36483720930233</v>
      </c>
      <c r="U13" s="57">
        <f>E13/(J13/F13)</f>
        <v>5.0623174458713498</v>
      </c>
    </row>
    <row r="14" spans="1:22" ht="15" x14ac:dyDescent="0.25">
      <c r="B14" s="154" t="s">
        <v>308</v>
      </c>
      <c r="C14" s="148"/>
      <c r="D14" s="149"/>
      <c r="E14" s="150"/>
      <c r="F14" s="151"/>
      <c r="G14" s="151"/>
      <c r="H14" s="151"/>
      <c r="I14" s="151"/>
      <c r="J14" s="151"/>
      <c r="K14" s="151"/>
      <c r="L14" s="151"/>
      <c r="M14" s="152"/>
      <c r="N14" s="152"/>
      <c r="O14" s="151"/>
      <c r="P14" s="156">
        <f t="shared" ref="P14:U14" si="0">MEDIAN(P10:P13)</f>
        <v>6.5010973334283806</v>
      </c>
      <c r="Q14" s="156">
        <f t="shared" si="0"/>
        <v>31.421915940691033</v>
      </c>
      <c r="R14" s="156">
        <f t="shared" si="0"/>
        <v>36.938829097116439</v>
      </c>
      <c r="S14" s="156">
        <f t="shared" si="0"/>
        <v>37.159497616010697</v>
      </c>
      <c r="T14" s="156">
        <f t="shared" si="0"/>
        <v>18.566106460557137</v>
      </c>
      <c r="U14" s="157">
        <f t="shared" si="0"/>
        <v>6.0521585573487728</v>
      </c>
    </row>
    <row r="15" spans="1:22" ht="15" x14ac:dyDescent="0.25">
      <c r="B15" s="190" t="s">
        <v>309</v>
      </c>
      <c r="D15" s="30"/>
      <c r="E15" s="137"/>
      <c r="F15" s="6"/>
      <c r="G15" s="6"/>
      <c r="H15" s="6"/>
      <c r="I15" s="6"/>
      <c r="J15" s="6"/>
      <c r="K15" s="6"/>
      <c r="L15" s="6"/>
      <c r="M15" s="188"/>
      <c r="N15" s="188"/>
      <c r="O15" s="6"/>
      <c r="P15" s="189">
        <f t="shared" ref="P15:U15" si="1">AVERAGE(P10:P13)</f>
        <v>6.4684595894363017</v>
      </c>
      <c r="Q15" s="189">
        <f t="shared" si="1"/>
        <v>29.396639573147397</v>
      </c>
      <c r="R15" s="189">
        <f t="shared" si="1"/>
        <v>36.569602069487388</v>
      </c>
      <c r="S15" s="189">
        <f t="shared" si="1"/>
        <v>38.304684162325856</v>
      </c>
      <c r="T15" s="189">
        <f t="shared" si="1"/>
        <v>20.459565051430431</v>
      </c>
      <c r="U15" s="191">
        <f t="shared" si="1"/>
        <v>6.1980267973875609</v>
      </c>
    </row>
    <row r="16" spans="1:22" ht="15" x14ac:dyDescent="0.25">
      <c r="B16" s="190" t="s">
        <v>323</v>
      </c>
      <c r="D16" s="30"/>
      <c r="E16" s="137"/>
      <c r="F16" s="6"/>
      <c r="G16" s="6"/>
      <c r="H16" s="6"/>
      <c r="I16" s="6"/>
      <c r="J16" s="6"/>
      <c r="K16" s="6"/>
      <c r="L16" s="6"/>
      <c r="M16" s="188"/>
      <c r="N16" s="188"/>
      <c r="O16" s="6"/>
      <c r="P16" s="189">
        <f t="shared" ref="P16:U16" si="2">MIN(P10:P13)</f>
        <v>0.90363951600731796</v>
      </c>
      <c r="Q16" s="189">
        <f t="shared" si="2"/>
        <v>15.669269558926787</v>
      </c>
      <c r="R16" s="189">
        <f t="shared" si="2"/>
        <v>25.845441145504317</v>
      </c>
      <c r="S16" s="189">
        <f t="shared" si="2"/>
        <v>18.20094623655914</v>
      </c>
      <c r="T16" s="189">
        <f t="shared" si="2"/>
        <v>5.3412100753051162</v>
      </c>
      <c r="U16" s="191">
        <f t="shared" si="2"/>
        <v>0.99984040536411711</v>
      </c>
    </row>
    <row r="17" spans="2:21" ht="15" x14ac:dyDescent="0.25">
      <c r="B17" s="155" t="s">
        <v>324</v>
      </c>
      <c r="C17" s="141"/>
      <c r="D17" s="146"/>
      <c r="E17" s="142"/>
      <c r="F17" s="143"/>
      <c r="G17" s="143"/>
      <c r="H17" s="143"/>
      <c r="I17" s="143"/>
      <c r="J17" s="143"/>
      <c r="K17" s="143"/>
      <c r="L17" s="143"/>
      <c r="M17" s="153"/>
      <c r="N17" s="153"/>
      <c r="O17" s="143"/>
      <c r="P17" s="158">
        <f t="shared" ref="P17:U17" si="3">MAX(P10:P13)</f>
        <v>11.968004174881132</v>
      </c>
      <c r="Q17" s="158">
        <f t="shared" si="3"/>
        <v>39.073456852280735</v>
      </c>
      <c r="R17" s="158">
        <f t="shared" si="3"/>
        <v>46.555308938212356</v>
      </c>
      <c r="S17" s="158">
        <f t="shared" si="3"/>
        <v>60.69879518072289</v>
      </c>
      <c r="T17" s="158">
        <f t="shared" si="3"/>
        <v>39.36483720930233</v>
      </c>
      <c r="U17" s="159">
        <f t="shared" si="3"/>
        <v>11.687949669488578</v>
      </c>
    </row>
    <row r="18" spans="2:21" x14ac:dyDescent="0.2">
      <c r="D18" s="30"/>
      <c r="E18" s="137"/>
      <c r="F18" s="6"/>
      <c r="G18" s="6"/>
      <c r="H18" s="6"/>
      <c r="I18" s="6"/>
      <c r="J18" s="6"/>
      <c r="K18" s="6"/>
      <c r="L18" s="6"/>
      <c r="M18" s="6"/>
      <c r="N18" s="6"/>
      <c r="O18" s="6"/>
      <c r="P18" s="57"/>
      <c r="Q18" s="57"/>
      <c r="R18" s="57"/>
      <c r="S18" s="57"/>
      <c r="T18" s="57"/>
    </row>
    <row r="19" spans="2:21" ht="15" x14ac:dyDescent="0.25">
      <c r="B19" s="140" t="s">
        <v>186</v>
      </c>
      <c r="C19" s="141"/>
      <c r="D19" s="146"/>
      <c r="E19" s="142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4"/>
      <c r="Q19" s="144"/>
      <c r="R19" s="144"/>
      <c r="S19" s="144"/>
      <c r="T19" s="144"/>
      <c r="U19" s="141"/>
    </row>
    <row r="20" spans="2:21" x14ac:dyDescent="0.2">
      <c r="B20" s="26" t="s">
        <v>188</v>
      </c>
      <c r="D20" s="30" t="s">
        <v>298</v>
      </c>
      <c r="E20" s="137">
        <v>962.37</v>
      </c>
      <c r="F20" s="6">
        <v>268.7</v>
      </c>
      <c r="G20" s="6">
        <v>258608.1</v>
      </c>
      <c r="H20" s="6">
        <v>253046.6</v>
      </c>
      <c r="I20" s="6"/>
      <c r="J20" s="6">
        <v>39375</v>
      </c>
      <c r="K20" s="6">
        <v>2794</v>
      </c>
      <c r="L20" s="6">
        <v>1736</v>
      </c>
      <c r="M20" s="147">
        <v>21.27</v>
      </c>
      <c r="N20" s="147">
        <v>51.81</v>
      </c>
      <c r="O20" s="6"/>
      <c r="P20" s="57">
        <f>H20/J20</f>
        <v>6.426580317460318</v>
      </c>
      <c r="Q20" s="57">
        <f>IF(K20&gt;0,H20/K20,0)</f>
        <v>90.567859699355765</v>
      </c>
      <c r="R20" s="57">
        <f>IF(L20&gt;0,H20/L20,0)</f>
        <v>145.76417050691245</v>
      </c>
      <c r="S20" s="57">
        <f>IF(M20&gt;0,E20/M20,0)</f>
        <v>45.245416078984483</v>
      </c>
      <c r="T20" s="57">
        <f>E20/N20</f>
        <v>18.574985524030108</v>
      </c>
      <c r="U20" s="57">
        <f>E20/(J20/F20)</f>
        <v>6.5673350857142863</v>
      </c>
    </row>
    <row r="21" spans="2:21" x14ac:dyDescent="0.2">
      <c r="B21" s="26" t="s">
        <v>189</v>
      </c>
      <c r="D21" s="30" t="s">
        <v>299</v>
      </c>
      <c r="E21" s="137">
        <v>107.52</v>
      </c>
      <c r="F21" s="6">
        <v>1823.2</v>
      </c>
      <c r="G21" s="6">
        <v>195650</v>
      </c>
      <c r="H21" s="6">
        <v>199310</v>
      </c>
      <c r="I21" s="6"/>
      <c r="J21" s="6">
        <v>35769</v>
      </c>
      <c r="K21" s="6">
        <v>7254</v>
      </c>
      <c r="L21" s="6">
        <v>6395</v>
      </c>
      <c r="M21" s="147">
        <v>2.59</v>
      </c>
      <c r="N21" s="147">
        <v>5.14</v>
      </c>
      <c r="O21" s="6"/>
      <c r="P21" s="57">
        <f>H21/J21</f>
        <v>5.5721434761944701</v>
      </c>
      <c r="Q21" s="57">
        <f>IF(K21&gt;0,H21/K21,0)</f>
        <v>27.475875379101186</v>
      </c>
      <c r="R21" s="57">
        <f>IF(L21&gt;0,H21/L21,0)</f>
        <v>31.166536356528539</v>
      </c>
      <c r="S21" s="57">
        <f>IF(M21&gt;0,E21/M21,0)</f>
        <v>41.513513513513516</v>
      </c>
      <c r="T21" s="57">
        <f>E21/N21</f>
        <v>20.918287937743191</v>
      </c>
      <c r="U21" s="57">
        <f>E21/(J21/F21)</f>
        <v>5.4804569319802061</v>
      </c>
    </row>
    <row r="22" spans="2:21" x14ac:dyDescent="0.2">
      <c r="B22" s="26" t="s">
        <v>190</v>
      </c>
      <c r="D22" s="30" t="s">
        <v>300</v>
      </c>
      <c r="E22" s="137">
        <v>326.95</v>
      </c>
      <c r="F22" s="6">
        <v>577.1</v>
      </c>
      <c r="G22" s="6">
        <v>188687.91999999998</v>
      </c>
      <c r="H22" s="6">
        <v>204191.31999999998</v>
      </c>
      <c r="I22" s="6"/>
      <c r="J22" s="6">
        <v>46576.32</v>
      </c>
      <c r="K22" s="6">
        <v>10109.4</v>
      </c>
      <c r="L22" s="6">
        <v>8193.08</v>
      </c>
      <c r="M22" s="147">
        <v>8.61</v>
      </c>
      <c r="N22" s="147">
        <v>48.72</v>
      </c>
      <c r="O22" s="6"/>
      <c r="P22" s="57">
        <f>H22/J22</f>
        <v>4.3840157401872881</v>
      </c>
      <c r="Q22" s="57">
        <f>IF(K22&gt;0,H22/K22,0)</f>
        <v>20.19816408491107</v>
      </c>
      <c r="R22" s="57">
        <f>IF(L22&gt;0,H22/L22,0)</f>
        <v>24.922412572561232</v>
      </c>
      <c r="S22" s="57">
        <f>IF(M22&gt;0,E22/M22,0)</f>
        <v>37.973286875725904</v>
      </c>
      <c r="T22" s="57">
        <f>E22/N22</f>
        <v>6.7107963875205252</v>
      </c>
      <c r="U22" s="57">
        <f>E22/(J22/F22)</f>
        <v>4.0510466477385938</v>
      </c>
    </row>
    <row r="23" spans="2:21" x14ac:dyDescent="0.2">
      <c r="B23" s="26" t="s">
        <v>191</v>
      </c>
      <c r="D23" s="30" t="s">
        <v>301</v>
      </c>
      <c r="E23" s="137">
        <v>184.99679999999998</v>
      </c>
      <c r="F23" s="6">
        <v>861.1</v>
      </c>
      <c r="G23" s="6">
        <v>159301.63999999998</v>
      </c>
      <c r="H23" s="6">
        <v>150371.96</v>
      </c>
      <c r="I23" s="6"/>
      <c r="J23" s="6">
        <v>46537.5</v>
      </c>
      <c r="K23" s="6">
        <v>5514.9</v>
      </c>
      <c r="L23" s="6">
        <v>3714.7</v>
      </c>
      <c r="M23" s="147">
        <v>1.89</v>
      </c>
      <c r="N23" s="147">
        <v>14.64</v>
      </c>
      <c r="O23" s="6"/>
      <c r="P23" s="57">
        <f>H23/J23</f>
        <v>3.2311997851195269</v>
      </c>
      <c r="Q23" s="57">
        <f>IF(K23&gt;0,H23/K23,0)</f>
        <v>27.266488966255054</v>
      </c>
      <c r="R23" s="57">
        <f>IF(L23&gt;0,H23/L23,0)</f>
        <v>40.480243357471664</v>
      </c>
      <c r="S23" s="57">
        <f>IF(M23&gt;0,E23/M23,0)</f>
        <v>97.88190476190475</v>
      </c>
      <c r="T23" s="57">
        <f>E23/N23</f>
        <v>12.636393442622948</v>
      </c>
      <c r="U23" s="57">
        <f>E23/(J23/F23)</f>
        <v>3.4230619281224817</v>
      </c>
    </row>
    <row r="24" spans="2:21" ht="15" x14ac:dyDescent="0.25">
      <c r="B24" s="154" t="s">
        <v>308</v>
      </c>
      <c r="C24" s="148"/>
      <c r="D24" s="149"/>
      <c r="E24" s="150"/>
      <c r="F24" s="151"/>
      <c r="G24" s="151"/>
      <c r="H24" s="151"/>
      <c r="I24" s="151"/>
      <c r="J24" s="151"/>
      <c r="K24" s="151"/>
      <c r="L24" s="151"/>
      <c r="M24" s="152"/>
      <c r="N24" s="152"/>
      <c r="O24" s="151"/>
      <c r="P24" s="156">
        <f t="shared" ref="P24:U24" si="4">MEDIAN(P20:P23)</f>
        <v>4.9780796081908791</v>
      </c>
      <c r="Q24" s="156">
        <f t="shared" si="4"/>
        <v>27.371182172678118</v>
      </c>
      <c r="R24" s="156">
        <f t="shared" si="4"/>
        <v>35.823389857000102</v>
      </c>
      <c r="S24" s="156">
        <f t="shared" si="4"/>
        <v>43.379464796248996</v>
      </c>
      <c r="T24" s="156">
        <f t="shared" si="4"/>
        <v>15.605689483326529</v>
      </c>
      <c r="U24" s="157">
        <f t="shared" si="4"/>
        <v>4.7657517898594</v>
      </c>
    </row>
    <row r="25" spans="2:21" ht="15" x14ac:dyDescent="0.25">
      <c r="B25" s="190" t="s">
        <v>309</v>
      </c>
      <c r="D25" s="30"/>
      <c r="E25" s="137"/>
      <c r="F25" s="6"/>
      <c r="G25" s="6"/>
      <c r="H25" s="6"/>
      <c r="I25" s="6"/>
      <c r="J25" s="6"/>
      <c r="K25" s="6"/>
      <c r="L25" s="6"/>
      <c r="M25" s="188"/>
      <c r="N25" s="188"/>
      <c r="O25" s="6"/>
      <c r="P25" s="189">
        <f t="shared" ref="P25:U25" si="5">AVERAGE(P20:P23)</f>
        <v>4.9034848297404015</v>
      </c>
      <c r="Q25" s="189">
        <f t="shared" si="5"/>
        <v>41.377097032405771</v>
      </c>
      <c r="R25" s="189">
        <f t="shared" si="5"/>
        <v>60.583340698368474</v>
      </c>
      <c r="S25" s="189">
        <f t="shared" si="5"/>
        <v>55.653530307532165</v>
      </c>
      <c r="T25" s="189">
        <f t="shared" si="5"/>
        <v>14.710115822979192</v>
      </c>
      <c r="U25" s="191">
        <f t="shared" si="5"/>
        <v>4.880475148388892</v>
      </c>
    </row>
    <row r="26" spans="2:21" ht="15" x14ac:dyDescent="0.25">
      <c r="B26" s="190" t="s">
        <v>323</v>
      </c>
      <c r="D26" s="30"/>
      <c r="E26" s="137"/>
      <c r="F26" s="6"/>
      <c r="G26" s="6"/>
      <c r="H26" s="6"/>
      <c r="I26" s="6"/>
      <c r="J26" s="6"/>
      <c r="K26" s="6"/>
      <c r="L26" s="6"/>
      <c r="M26" s="188"/>
      <c r="N26" s="188"/>
      <c r="O26" s="6"/>
      <c r="P26" s="189">
        <f t="shared" ref="P26:U26" si="6">MIN(P20:P23)</f>
        <v>3.2311997851195269</v>
      </c>
      <c r="Q26" s="189">
        <f t="shared" si="6"/>
        <v>20.19816408491107</v>
      </c>
      <c r="R26" s="189">
        <f t="shared" si="6"/>
        <v>24.922412572561232</v>
      </c>
      <c r="S26" s="189">
        <f t="shared" si="6"/>
        <v>37.973286875725904</v>
      </c>
      <c r="T26" s="189">
        <f t="shared" si="6"/>
        <v>6.7107963875205252</v>
      </c>
      <c r="U26" s="191">
        <f t="shared" si="6"/>
        <v>3.4230619281224817</v>
      </c>
    </row>
    <row r="27" spans="2:21" ht="15" x14ac:dyDescent="0.25">
      <c r="B27" s="155" t="s">
        <v>324</v>
      </c>
      <c r="C27" s="141"/>
      <c r="D27" s="146"/>
      <c r="E27" s="142"/>
      <c r="F27" s="143"/>
      <c r="G27" s="143"/>
      <c r="H27" s="143"/>
      <c r="I27" s="143"/>
      <c r="J27" s="143"/>
      <c r="K27" s="143"/>
      <c r="L27" s="143"/>
      <c r="M27" s="153"/>
      <c r="N27" s="153"/>
      <c r="O27" s="143"/>
      <c r="P27" s="158">
        <f t="shared" ref="P27:U27" si="7">MAX(P20:P23)</f>
        <v>6.426580317460318</v>
      </c>
      <c r="Q27" s="158">
        <f t="shared" si="7"/>
        <v>90.567859699355765</v>
      </c>
      <c r="R27" s="158">
        <f t="shared" si="7"/>
        <v>145.76417050691245</v>
      </c>
      <c r="S27" s="158">
        <f t="shared" si="7"/>
        <v>97.88190476190475</v>
      </c>
      <c r="T27" s="158">
        <f t="shared" si="7"/>
        <v>20.918287937743191</v>
      </c>
      <c r="U27" s="159">
        <f t="shared" si="7"/>
        <v>6.5673350857142863</v>
      </c>
    </row>
    <row r="28" spans="2:21" x14ac:dyDescent="0.2">
      <c r="D28" s="30"/>
      <c r="E28" s="137"/>
      <c r="F28" s="6"/>
      <c r="G28" s="6"/>
      <c r="H28" s="6"/>
      <c r="I28" s="6"/>
      <c r="J28" s="6"/>
      <c r="K28" s="6"/>
      <c r="L28" s="6"/>
      <c r="M28" s="6"/>
      <c r="N28" s="6"/>
      <c r="O28" s="6"/>
      <c r="P28" s="57"/>
      <c r="Q28" s="57"/>
      <c r="R28" s="57"/>
      <c r="S28" s="57"/>
      <c r="T28" s="57"/>
    </row>
    <row r="29" spans="2:21" ht="15" x14ac:dyDescent="0.25">
      <c r="B29" s="140" t="s">
        <v>187</v>
      </c>
      <c r="C29" s="141"/>
      <c r="D29" s="146"/>
      <c r="E29" s="142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4"/>
      <c r="Q29" s="144"/>
      <c r="R29" s="144"/>
      <c r="S29" s="144"/>
      <c r="T29" s="144"/>
      <c r="U29" s="141"/>
    </row>
    <row r="30" spans="2:21" x14ac:dyDescent="0.2">
      <c r="B30" s="26" t="s">
        <v>196</v>
      </c>
      <c r="D30" s="30" t="s">
        <v>302</v>
      </c>
      <c r="E30" s="137">
        <v>682.61</v>
      </c>
      <c r="F30" s="6">
        <v>138</v>
      </c>
      <c r="G30" s="6">
        <v>94156.800000000003</v>
      </c>
      <c r="H30" s="6">
        <v>100235.8</v>
      </c>
      <c r="I30" s="6"/>
      <c r="J30" s="6">
        <v>33894</v>
      </c>
      <c r="K30" s="6">
        <v>5174</v>
      </c>
      <c r="L30" s="6">
        <v>4056</v>
      </c>
      <c r="M30" s="147">
        <v>21.39</v>
      </c>
      <c r="N30" s="147">
        <v>89.5</v>
      </c>
      <c r="O30" s="6"/>
      <c r="P30" s="57">
        <f>H30/J30</f>
        <v>2.9573316811235029</v>
      </c>
      <c r="Q30" s="57">
        <f>IF(K30&gt;0,H30/K30,0)</f>
        <v>19.372980286045614</v>
      </c>
      <c r="R30" s="57">
        <f>IF(L30&gt;0,H30/L30,0)</f>
        <v>24.712968441814596</v>
      </c>
      <c r="S30" s="57">
        <f>IF(M30&gt;0,E30/M30,0)</f>
        <v>31.912575970079477</v>
      </c>
      <c r="T30" s="57">
        <f>E30/N30</f>
        <v>7.6269273743016761</v>
      </c>
      <c r="U30" s="57">
        <f>E30/(J30/F30)</f>
        <v>2.7792582758010269</v>
      </c>
    </row>
    <row r="31" spans="2:21" x14ac:dyDescent="0.2">
      <c r="B31" s="26" t="s">
        <v>197</v>
      </c>
      <c r="D31" s="30" t="s">
        <v>303</v>
      </c>
      <c r="E31" s="137">
        <v>34.784651192586111</v>
      </c>
      <c r="F31" s="6">
        <v>1592.7</v>
      </c>
      <c r="G31" s="6">
        <v>70742.328799299619</v>
      </c>
      <c r="H31" s="6">
        <v>66051.205398133723</v>
      </c>
      <c r="I31" s="6"/>
      <c r="J31" s="6">
        <v>49660.2</v>
      </c>
      <c r="K31" s="6">
        <v>7369.1</v>
      </c>
      <c r="L31" s="6">
        <v>4866.3</v>
      </c>
      <c r="M31" s="147">
        <v>1.81</v>
      </c>
      <c r="N31" s="147">
        <v>10.01</v>
      </c>
      <c r="O31" s="6"/>
      <c r="P31" s="57">
        <f>H31/J31</f>
        <v>1.3300632175894123</v>
      </c>
      <c r="Q31" s="57">
        <f>IF(K31&gt;0,H31/K31,0)</f>
        <v>8.9632662602127429</v>
      </c>
      <c r="R31" s="57">
        <f>IF(L31&gt;0,H31/L31,0)</f>
        <v>13.57318813022907</v>
      </c>
      <c r="S31" s="57">
        <f>IF(M31&gt;0,E31/M31,0)</f>
        <v>19.218039332920501</v>
      </c>
      <c r="T31" s="57">
        <f>E31/N31</f>
        <v>3.4749901291294818</v>
      </c>
      <c r="U31" s="57">
        <f>E31/(J31/F31)</f>
        <v>1.1156119780917495</v>
      </c>
    </row>
    <row r="32" spans="2:21" x14ac:dyDescent="0.2">
      <c r="B32" s="26" t="s">
        <v>198</v>
      </c>
      <c r="D32" s="30" t="s">
        <v>304</v>
      </c>
      <c r="E32" s="137">
        <v>117.55500000000001</v>
      </c>
      <c r="F32" s="6">
        <v>526.29999999999995</v>
      </c>
      <c r="G32" s="6">
        <v>61886</v>
      </c>
      <c r="H32" s="6">
        <v>53290.6</v>
      </c>
      <c r="I32" s="6"/>
      <c r="J32" s="6">
        <v>27779.599999999999</v>
      </c>
      <c r="K32" s="6">
        <v>3150.2</v>
      </c>
      <c r="L32" s="6">
        <v>2751.2</v>
      </c>
      <c r="M32" s="147">
        <v>4.7</v>
      </c>
      <c r="N32" s="147">
        <v>37.54</v>
      </c>
      <c r="O32" s="6"/>
      <c r="P32" s="57">
        <f>H32/J32</f>
        <v>1.9183357571743294</v>
      </c>
      <c r="Q32" s="57">
        <f>IF(K32&gt;0,H32/K32,0)</f>
        <v>16.916576725287285</v>
      </c>
      <c r="R32" s="57">
        <f>IF(L32&gt;0,H32/L32,0)</f>
        <v>19.369947659203259</v>
      </c>
      <c r="S32" s="57">
        <f>IF(M32&gt;0,E32/M32,0)</f>
        <v>25.011702127659575</v>
      </c>
      <c r="T32" s="57">
        <f>E32/N32</f>
        <v>3.1314597762386791</v>
      </c>
      <c r="U32" s="57">
        <f>E32/(J32/F32)</f>
        <v>2.2271449732897524</v>
      </c>
    </row>
    <row r="33" spans="2:23" x14ac:dyDescent="0.2">
      <c r="B33" s="26" t="s">
        <v>199</v>
      </c>
      <c r="D33" s="30" t="s">
        <v>305</v>
      </c>
      <c r="E33" s="137">
        <v>456.93</v>
      </c>
      <c r="F33" s="6">
        <v>262.2</v>
      </c>
      <c r="G33" s="6">
        <v>107392.4</v>
      </c>
      <c r="H33" s="6">
        <v>180093.1</v>
      </c>
      <c r="I33" s="6"/>
      <c r="J33" s="6">
        <v>122579.5</v>
      </c>
      <c r="K33" s="6">
        <v>9105.7000000000007</v>
      </c>
      <c r="L33" s="6">
        <v>6755.4</v>
      </c>
      <c r="M33" s="147">
        <v>10.24</v>
      </c>
      <c r="N33" s="147">
        <v>60.37</v>
      </c>
      <c r="O33" s="6"/>
      <c r="P33" s="57">
        <f>H33/J33</f>
        <v>1.469194277999176</v>
      </c>
      <c r="Q33" s="57">
        <f>IF(K33&gt;0,H33/K33,0)</f>
        <v>19.778062092974729</v>
      </c>
      <c r="R33" s="57">
        <f>IF(L33&gt;0,H33/L33,0)</f>
        <v>26.659131953696306</v>
      </c>
      <c r="S33" s="57">
        <f>IF(M33&gt;0,E33/M33,0)</f>
        <v>44.6220703125</v>
      </c>
      <c r="T33" s="57">
        <f>E33/N33</f>
        <v>7.5688255756170291</v>
      </c>
      <c r="U33" s="57">
        <f>E33/(J33/F33)</f>
        <v>0.97738240080927075</v>
      </c>
    </row>
    <row r="34" spans="2:23" ht="15" x14ac:dyDescent="0.25">
      <c r="B34" s="154" t="s">
        <v>308</v>
      </c>
      <c r="C34" s="148"/>
      <c r="D34" s="149"/>
      <c r="E34" s="150"/>
      <c r="F34" s="151"/>
      <c r="G34" s="151"/>
      <c r="H34" s="151"/>
      <c r="I34" s="151"/>
      <c r="J34" s="151"/>
      <c r="K34" s="151"/>
      <c r="L34" s="151"/>
      <c r="M34" s="152"/>
      <c r="N34" s="152"/>
      <c r="O34" s="151"/>
      <c r="P34" s="156">
        <f t="shared" ref="P34:U34" si="8">MEDIAN(P30:P33)</f>
        <v>1.6937650175867527</v>
      </c>
      <c r="Q34" s="156">
        <f t="shared" si="8"/>
        <v>18.144778505666451</v>
      </c>
      <c r="R34" s="156">
        <f t="shared" si="8"/>
        <v>22.041458050508929</v>
      </c>
      <c r="S34" s="156">
        <f t="shared" si="8"/>
        <v>28.462139048869524</v>
      </c>
      <c r="T34" s="156">
        <f t="shared" si="8"/>
        <v>5.5219078523732552</v>
      </c>
      <c r="U34" s="157">
        <f t="shared" si="8"/>
        <v>1.671378475690751</v>
      </c>
    </row>
    <row r="35" spans="2:23" ht="15" x14ac:dyDescent="0.25">
      <c r="B35" s="190" t="s">
        <v>309</v>
      </c>
      <c r="D35" s="30"/>
      <c r="E35" s="137"/>
      <c r="F35" s="6"/>
      <c r="G35" s="6"/>
      <c r="H35" s="6"/>
      <c r="I35" s="6"/>
      <c r="J35" s="6"/>
      <c r="K35" s="6"/>
      <c r="L35" s="6"/>
      <c r="M35" s="188"/>
      <c r="N35" s="188"/>
      <c r="O35" s="6"/>
      <c r="P35" s="189">
        <f t="shared" ref="P35:U35" si="9">AVERAGE(P30:P33)</f>
        <v>1.9187312334716049</v>
      </c>
      <c r="Q35" s="189">
        <f t="shared" si="9"/>
        <v>16.257721341130093</v>
      </c>
      <c r="R35" s="189">
        <f t="shared" si="9"/>
        <v>21.078809046235808</v>
      </c>
      <c r="S35" s="189">
        <f t="shared" si="9"/>
        <v>30.191096935789886</v>
      </c>
      <c r="T35" s="189">
        <f t="shared" si="9"/>
        <v>5.4505507138217171</v>
      </c>
      <c r="U35" s="191">
        <f t="shared" si="9"/>
        <v>1.7748494069979497</v>
      </c>
    </row>
    <row r="36" spans="2:23" ht="15" x14ac:dyDescent="0.25">
      <c r="B36" s="190" t="s">
        <v>323</v>
      </c>
      <c r="D36" s="30"/>
      <c r="E36" s="137"/>
      <c r="F36" s="6"/>
      <c r="G36" s="6"/>
      <c r="H36" s="6"/>
      <c r="I36" s="6"/>
      <c r="J36" s="6"/>
      <c r="K36" s="6"/>
      <c r="L36" s="6"/>
      <c r="M36" s="188"/>
      <c r="N36" s="188"/>
      <c r="O36" s="6"/>
      <c r="P36" s="189">
        <f t="shared" ref="P36:U36" si="10">MIN(P30:P33)</f>
        <v>1.3300632175894123</v>
      </c>
      <c r="Q36" s="189">
        <f t="shared" si="10"/>
        <v>8.9632662602127429</v>
      </c>
      <c r="R36" s="189">
        <f t="shared" si="10"/>
        <v>13.57318813022907</v>
      </c>
      <c r="S36" s="189">
        <f t="shared" si="10"/>
        <v>19.218039332920501</v>
      </c>
      <c r="T36" s="189">
        <f t="shared" si="10"/>
        <v>3.1314597762386791</v>
      </c>
      <c r="U36" s="191">
        <f t="shared" si="10"/>
        <v>0.97738240080927075</v>
      </c>
    </row>
    <row r="37" spans="2:23" ht="15" x14ac:dyDescent="0.25">
      <c r="B37" s="155" t="s">
        <v>324</v>
      </c>
      <c r="C37" s="141"/>
      <c r="D37" s="146"/>
      <c r="E37" s="142"/>
      <c r="F37" s="143"/>
      <c r="G37" s="143"/>
      <c r="H37" s="143"/>
      <c r="I37" s="143"/>
      <c r="J37" s="143"/>
      <c r="K37" s="143"/>
      <c r="L37" s="143"/>
      <c r="M37" s="153"/>
      <c r="N37" s="153"/>
      <c r="O37" s="143"/>
      <c r="P37" s="158">
        <f t="shared" ref="P37:U37" si="11">MAX(P30:P33)</f>
        <v>2.9573316811235029</v>
      </c>
      <c r="Q37" s="158">
        <f t="shared" si="11"/>
        <v>19.778062092974729</v>
      </c>
      <c r="R37" s="158">
        <f t="shared" si="11"/>
        <v>26.659131953696306</v>
      </c>
      <c r="S37" s="158">
        <f t="shared" si="11"/>
        <v>44.6220703125</v>
      </c>
      <c r="T37" s="158">
        <f t="shared" si="11"/>
        <v>7.6269273743016761</v>
      </c>
      <c r="U37" s="159">
        <f t="shared" si="11"/>
        <v>2.7792582758010269</v>
      </c>
    </row>
    <row r="38" spans="2:23" x14ac:dyDescent="0.2">
      <c r="E38" s="6"/>
      <c r="F38" s="137"/>
      <c r="G38" s="6"/>
      <c r="H38" s="6"/>
      <c r="I38" s="6"/>
      <c r="J38" s="6"/>
      <c r="K38" s="6"/>
      <c r="L38" s="6"/>
      <c r="M38" s="6"/>
      <c r="N38" s="6"/>
      <c r="O38" s="6"/>
      <c r="P38" s="57"/>
      <c r="Q38" s="57"/>
      <c r="R38" s="57"/>
      <c r="S38" s="57"/>
      <c r="T38" s="57"/>
    </row>
    <row r="39" spans="2:23" ht="15" x14ac:dyDescent="0.25">
      <c r="B39" s="24" t="s">
        <v>312</v>
      </c>
      <c r="C39" s="175"/>
      <c r="D39" s="176"/>
      <c r="E39" s="177"/>
      <c r="F39" s="178"/>
      <c r="G39" s="178"/>
      <c r="H39" s="178"/>
      <c r="I39" s="178"/>
      <c r="J39" s="178"/>
      <c r="K39" s="178"/>
      <c r="L39" s="178"/>
      <c r="M39" s="177"/>
      <c r="N39" s="177"/>
      <c r="O39" s="178"/>
      <c r="P39" s="179"/>
      <c r="Q39" s="179"/>
      <c r="R39" s="179"/>
      <c r="S39" s="179"/>
      <c r="T39" s="179"/>
      <c r="U39" s="179"/>
    </row>
    <row r="40" spans="2:23" ht="3.95" customHeight="1" x14ac:dyDescent="0.25">
      <c r="B40" s="29"/>
      <c r="C40" s="29"/>
      <c r="D40" s="56"/>
      <c r="E40" s="160"/>
      <c r="F40" s="8"/>
      <c r="G40" s="8"/>
      <c r="H40" s="8"/>
      <c r="I40" s="8"/>
      <c r="J40" s="8"/>
      <c r="K40" s="8"/>
      <c r="L40" s="8"/>
      <c r="M40" s="160"/>
      <c r="N40" s="160"/>
      <c r="O40" s="8"/>
      <c r="P40" s="161"/>
      <c r="Q40" s="161"/>
      <c r="R40" s="161"/>
      <c r="S40" s="161"/>
      <c r="T40" s="161"/>
      <c r="U40" s="161"/>
    </row>
    <row r="41" spans="2:23" ht="15" x14ac:dyDescent="0.25">
      <c r="B41" s="171" t="s">
        <v>315</v>
      </c>
      <c r="C41" s="126"/>
      <c r="D41" s="172">
        <v>21833</v>
      </c>
      <c r="E41" s="160"/>
      <c r="F41" s="8"/>
      <c r="G41" s="8"/>
      <c r="H41" s="8"/>
      <c r="I41" s="8"/>
      <c r="J41" s="8"/>
      <c r="K41" s="8"/>
      <c r="L41" s="8"/>
      <c r="M41" s="160"/>
      <c r="N41" s="160"/>
      <c r="O41" s="8"/>
      <c r="P41" s="161"/>
      <c r="Q41" s="161"/>
      <c r="R41" s="161"/>
      <c r="S41" s="161"/>
      <c r="T41" s="161"/>
      <c r="U41" s="161"/>
    </row>
    <row r="42" spans="2:23" ht="15" x14ac:dyDescent="0.25">
      <c r="B42" s="173" t="s">
        <v>316</v>
      </c>
      <c r="C42" s="140"/>
      <c r="D42" s="174">
        <v>751</v>
      </c>
      <c r="E42" s="160"/>
      <c r="F42" s="8"/>
      <c r="G42" s="8"/>
      <c r="H42" s="8"/>
      <c r="I42" s="8"/>
      <c r="J42" s="8"/>
      <c r="K42" s="8"/>
      <c r="L42" s="8"/>
      <c r="M42" s="160"/>
      <c r="N42" s="160"/>
      <c r="O42" s="8"/>
      <c r="P42" s="161"/>
      <c r="Q42" s="161"/>
      <c r="R42" s="161"/>
      <c r="S42" s="161"/>
      <c r="T42" s="161"/>
      <c r="U42" s="161"/>
    </row>
    <row r="43" spans="2:23" x14ac:dyDescent="0.2">
      <c r="E43" s="6"/>
      <c r="F43" s="137"/>
      <c r="G43" s="6"/>
      <c r="H43" s="6"/>
      <c r="I43" s="6"/>
      <c r="J43" s="6"/>
      <c r="K43" s="6"/>
      <c r="N43" s="6"/>
      <c r="O43" s="6"/>
      <c r="P43" s="57"/>
      <c r="Q43" s="57"/>
      <c r="R43" s="57"/>
      <c r="S43" s="57"/>
      <c r="T43" s="57"/>
    </row>
    <row r="44" spans="2:23" ht="15" x14ac:dyDescent="0.25">
      <c r="B44" s="255" t="s">
        <v>203</v>
      </c>
      <c r="D44" s="255" t="s">
        <v>214</v>
      </c>
      <c r="E44" s="256" t="s">
        <v>313</v>
      </c>
      <c r="F44" s="256"/>
      <c r="G44" s="256"/>
      <c r="H44" s="256"/>
      <c r="I44" s="256"/>
      <c r="J44" s="256"/>
      <c r="K44" s="6"/>
      <c r="L44" s="257" t="s">
        <v>314</v>
      </c>
      <c r="M44" s="257"/>
      <c r="N44" s="257"/>
      <c r="O44" s="257"/>
      <c r="P44" s="257"/>
      <c r="Q44" s="257"/>
      <c r="R44" s="57"/>
      <c r="T44" s="57"/>
    </row>
    <row r="45" spans="2:23" ht="15" x14ac:dyDescent="0.25">
      <c r="B45" s="255"/>
      <c r="C45" s="56"/>
      <c r="D45" s="255"/>
      <c r="E45" s="180" t="s">
        <v>287</v>
      </c>
      <c r="F45" s="181" t="s">
        <v>288</v>
      </c>
      <c r="G45" s="180" t="s">
        <v>289</v>
      </c>
      <c r="H45" s="180" t="s">
        <v>290</v>
      </c>
      <c r="I45" s="180" t="s">
        <v>291</v>
      </c>
      <c r="J45" s="180" t="s">
        <v>294</v>
      </c>
      <c r="K45" s="169"/>
      <c r="L45" s="180" t="s">
        <v>287</v>
      </c>
      <c r="M45" s="181" t="s">
        <v>288</v>
      </c>
      <c r="N45" s="180" t="s">
        <v>289</v>
      </c>
      <c r="O45" s="180" t="s">
        <v>290</v>
      </c>
      <c r="P45" s="180" t="s">
        <v>291</v>
      </c>
      <c r="Q45" s="180" t="s">
        <v>294</v>
      </c>
      <c r="R45" s="57"/>
      <c r="S45" s="238" t="s">
        <v>203</v>
      </c>
      <c r="T45" s="238"/>
      <c r="U45" s="56"/>
      <c r="V45" s="56" t="s">
        <v>288</v>
      </c>
      <c r="W45" s="56" t="s">
        <v>290</v>
      </c>
    </row>
    <row r="46" spans="2:23" ht="3.95" customHeight="1" x14ac:dyDescent="0.25">
      <c r="B46" s="139"/>
      <c r="C46" s="56"/>
      <c r="D46" s="139"/>
      <c r="E46" s="169"/>
      <c r="F46" s="182"/>
      <c r="G46" s="169"/>
      <c r="H46" s="169"/>
      <c r="I46" s="169"/>
      <c r="J46" s="169"/>
      <c r="K46" s="169"/>
      <c r="L46" s="169"/>
      <c r="M46" s="182"/>
      <c r="N46" s="169"/>
      <c r="O46" s="169"/>
      <c r="P46" s="169"/>
      <c r="Q46" s="169"/>
      <c r="R46" s="183"/>
      <c r="S46" s="183"/>
      <c r="T46" s="183"/>
    </row>
    <row r="47" spans="2:23" x14ac:dyDescent="0.2">
      <c r="B47" s="26" t="s">
        <v>182</v>
      </c>
      <c r="D47" s="170">
        <v>0.1701246806909088</v>
      </c>
      <c r="E47" s="137">
        <f>((J$7*P$14)+$D$41-$D$42)/$F$7</f>
        <v>531.82152496534707</v>
      </c>
      <c r="F47" s="137">
        <f>((K$7*Q$14)+$D$41-$D$42)/$F$7</f>
        <v>601.16226610144213</v>
      </c>
      <c r="G47" s="137">
        <f>((L$7*R$14)+$D$41-$D$42)/$F$7</f>
        <v>597.67342725400226</v>
      </c>
      <c r="H47" s="137">
        <f>M$7*S$14</f>
        <v>416.55796827547994</v>
      </c>
      <c r="I47" s="137">
        <f>N$7*T$14</f>
        <v>942.97254713169696</v>
      </c>
      <c r="J47" s="137">
        <f>($J$7*$U$14)/$F$7</f>
        <v>444.55232133067653</v>
      </c>
      <c r="K47" s="6"/>
      <c r="L47" s="137">
        <f>((P$15*J$7)+$D$42-$D$41)/$F$7</f>
        <v>420.8380232034566</v>
      </c>
      <c r="M47" s="137">
        <f>((Q$15*K$7)+$D$42-$D$41)/$F$7</f>
        <v>457.32807168511482</v>
      </c>
      <c r="N47" s="137">
        <f>((R$15*L$7)+$D$42-$D$41)/$F$7</f>
        <v>483.65585119987628</v>
      </c>
      <c r="O47" s="137">
        <f>S$15*M$7</f>
        <v>429.39550945967289</v>
      </c>
      <c r="P47" s="137">
        <f>T$15*N$7</f>
        <v>1039.1413089621515</v>
      </c>
      <c r="Q47" s="137">
        <f>($J$7*U15)/$F$7</f>
        <v>455.26685633553438</v>
      </c>
      <c r="R47" s="57"/>
      <c r="S47" s="26" t="s">
        <v>182</v>
      </c>
      <c r="U47" s="170">
        <v>0.1701246806909088</v>
      </c>
      <c r="V47" s="26">
        <v>31.42</v>
      </c>
      <c r="W47" s="26">
        <v>37.159999999999997</v>
      </c>
    </row>
    <row r="48" spans="2:23" x14ac:dyDescent="0.2">
      <c r="B48" s="26" t="s">
        <v>201</v>
      </c>
      <c r="D48" s="170">
        <v>0.8044186772796067</v>
      </c>
      <c r="E48" s="137">
        <f>((J$7*P$24)+$D$41-$D$42)/$F$7</f>
        <v>419.95051914710336</v>
      </c>
      <c r="F48" s="137">
        <f>((K$7*Q$24)+$D$41-$D$42)/$F$7</f>
        <v>530.66301602616204</v>
      </c>
      <c r="G48" s="137">
        <f>((L$7*R$24)+$D$41-$D$42)/$F$7</f>
        <v>581.26500866130459</v>
      </c>
      <c r="H48" s="137">
        <f>M$7*S$24</f>
        <v>486.28380036595127</v>
      </c>
      <c r="I48" s="137">
        <f>N$7*T$24</f>
        <v>792.61296885815443</v>
      </c>
      <c r="J48" s="137">
        <f>($J$7*U24)/$F$7</f>
        <v>350.06122212302296</v>
      </c>
      <c r="K48" s="6"/>
      <c r="L48" s="137">
        <f>((P$25*J$7)+$D$42-$D$41)/$F$7</f>
        <v>305.88512571170673</v>
      </c>
      <c r="M48" s="137">
        <f>((Q$25*K$7)+$D$42-$D$41)/$F$7</f>
        <v>665.83678018284365</v>
      </c>
      <c r="N48" s="137">
        <f>((R$25*L$7)+$D$42-$D$41)/$F$7</f>
        <v>836.90456365974956</v>
      </c>
      <c r="O48" s="137">
        <f>S$25*M$7</f>
        <v>623.87607474743561</v>
      </c>
      <c r="P48" s="137">
        <f>T$25*N$7</f>
        <v>747.12678264911312</v>
      </c>
      <c r="Q48" s="137">
        <f>($J$7*U25)/$F$7</f>
        <v>358.4880560966983</v>
      </c>
      <c r="R48" s="57"/>
      <c r="S48" s="26" t="s">
        <v>201</v>
      </c>
      <c r="U48" s="170">
        <v>0.8044186772796067</v>
      </c>
      <c r="V48" s="26">
        <v>27.37</v>
      </c>
      <c r="W48" s="26">
        <v>43.38</v>
      </c>
    </row>
    <row r="49" spans="2:23" x14ac:dyDescent="0.2">
      <c r="B49" s="26" t="s">
        <v>202</v>
      </c>
      <c r="D49" s="170">
        <v>2.5456642029484541E-2</v>
      </c>
      <c r="E49" s="137">
        <f>((J$7*P$34)+$D$41-$D$42)/$F$7</f>
        <v>178.7060670399417</v>
      </c>
      <c r="F49" s="137">
        <f>((K$7*Q$34)+$D$41-$D$42)/$F$7</f>
        <v>370.08604981018249</v>
      </c>
      <c r="G49" s="137">
        <f>((L$7*R$34)+$D$41-$D$42)/$F$7</f>
        <v>378.52899403684529</v>
      </c>
      <c r="H49" s="137">
        <f>M$7*S$34</f>
        <v>319.06057873782737</v>
      </c>
      <c r="I49" s="137">
        <f>N$7*T$34</f>
        <v>280.45769982203763</v>
      </c>
      <c r="J49" s="137">
        <f>($J$7*U34)/$F$7</f>
        <v>122.76862447502344</v>
      </c>
      <c r="K49" s="6"/>
      <c r="L49" s="137">
        <f>((P$35*J$7)+$D$42-$D$41)/$F$7</f>
        <v>86.644481692189331</v>
      </c>
      <c r="M49" s="137">
        <f>((Q$35*K$7)+$D$42-$D$41)/$F$7</f>
        <v>228.65743194271738</v>
      </c>
      <c r="N49" s="137">
        <f>((R$35*L$7)+$D$42-$D$41)/$F$7</f>
        <v>255.78201718284555</v>
      </c>
      <c r="O49" s="137">
        <f>S$35*M$7</f>
        <v>338.44219665020466</v>
      </c>
      <c r="P49" s="137">
        <f>T$35*N$7</f>
        <v>276.83347075500501</v>
      </c>
      <c r="Q49" s="137">
        <f>($J$7*U35)/$F$7</f>
        <v>130.3689281133029</v>
      </c>
      <c r="R49" s="57"/>
      <c r="S49" s="26" t="s">
        <v>202</v>
      </c>
      <c r="U49" s="170">
        <v>2.5456642029484541E-2</v>
      </c>
      <c r="V49" s="26">
        <v>18.14</v>
      </c>
      <c r="W49" s="26">
        <v>28.46</v>
      </c>
    </row>
    <row r="50" spans="2:23" ht="15" x14ac:dyDescent="0.25">
      <c r="B50" s="95" t="s">
        <v>317</v>
      </c>
      <c r="C50" s="96"/>
      <c r="D50" s="185">
        <f>SUM(D47:D49)</f>
        <v>1</v>
      </c>
      <c r="E50" s="186">
        <f>SUMPRODUCT($D$47:$D$49,E47:E49)</f>
        <v>432.84126463161175</v>
      </c>
      <c r="F50" s="186">
        <f t="shared" ref="F50:J50" si="12">SUMPRODUCT($D$47:$D$49,F47:F49)</f>
        <v>538.56892808702673</v>
      </c>
      <c r="G50" s="186">
        <f t="shared" si="12"/>
        <v>578.89550748425086</v>
      </c>
      <c r="H50" s="186">
        <f t="shared" si="12"/>
        <v>470.16477375364769</v>
      </c>
      <c r="I50" s="186">
        <f t="shared" si="12"/>
        <v>805.15509075339389</v>
      </c>
      <c r="J50" s="186">
        <f t="shared" si="12"/>
        <v>360.35038390958124</v>
      </c>
      <c r="K50" s="184"/>
      <c r="L50" s="186">
        <f t="shared" ref="L50:Q50" si="13">SUMPRODUCT($D$47:$D$49,L47:L49)</f>
        <v>319.86032009886696</v>
      </c>
      <c r="M50" s="186">
        <f t="shared" si="13"/>
        <v>619.23518455756152</v>
      </c>
      <c r="N50" s="186">
        <f t="shared" si="13"/>
        <v>762.01481060711399</v>
      </c>
      <c r="O50" s="186">
        <f t="shared" si="13"/>
        <v>583.52394261945892</v>
      </c>
      <c r="P50" s="186">
        <f t="shared" si="13"/>
        <v>784.83357220547668</v>
      </c>
      <c r="Q50" s="186">
        <f t="shared" si="13"/>
        <v>369.1453716038281</v>
      </c>
      <c r="R50" s="57"/>
      <c r="S50" s="95" t="s">
        <v>317</v>
      </c>
      <c r="T50" s="96"/>
      <c r="U50" s="185">
        <f>SUM(U47:U49)</f>
        <v>1</v>
      </c>
      <c r="V50" s="239">
        <f>SUMPRODUCT($U$47:$U$49,V47:V49)</f>
        <v>27.82404015086604</v>
      </c>
      <c r="W50" s="239">
        <f>SUMPRODUCT($U$47:$U$49,W47:W49)</f>
        <v>41.942011387022639</v>
      </c>
    </row>
    <row r="51" spans="2:23" x14ac:dyDescent="0.2">
      <c r="H51" s="6"/>
      <c r="I51" s="6"/>
      <c r="J51" s="6"/>
      <c r="K51" s="6"/>
      <c r="L51" s="6"/>
      <c r="M51" s="6"/>
      <c r="N51" s="6"/>
      <c r="O51" s="6"/>
      <c r="P51" s="85"/>
      <c r="Q51" s="85"/>
      <c r="R51" s="85"/>
      <c r="S51" s="85"/>
      <c r="T51" s="85"/>
    </row>
    <row r="52" spans="2:23" ht="15" x14ac:dyDescent="0.25">
      <c r="B52" s="255" t="s">
        <v>203</v>
      </c>
      <c r="D52" s="255" t="s">
        <v>214</v>
      </c>
      <c r="E52" s="256" t="s">
        <v>325</v>
      </c>
      <c r="F52" s="256"/>
      <c r="G52" s="256"/>
      <c r="H52" s="256"/>
      <c r="I52" s="256"/>
      <c r="J52" s="256"/>
      <c r="K52" s="6"/>
      <c r="L52" s="257" t="s">
        <v>326</v>
      </c>
      <c r="M52" s="257"/>
      <c r="N52" s="257"/>
      <c r="O52" s="257"/>
      <c r="P52" s="257"/>
      <c r="Q52" s="257"/>
      <c r="R52" s="85"/>
      <c r="S52" s="85"/>
      <c r="T52" s="85"/>
    </row>
    <row r="53" spans="2:23" ht="15" x14ac:dyDescent="0.25">
      <c r="B53" s="255"/>
      <c r="C53" s="56"/>
      <c r="D53" s="255"/>
      <c r="E53" s="180" t="s">
        <v>287</v>
      </c>
      <c r="F53" s="181" t="s">
        <v>288</v>
      </c>
      <c r="G53" s="180" t="s">
        <v>289</v>
      </c>
      <c r="H53" s="180" t="s">
        <v>290</v>
      </c>
      <c r="I53" s="180" t="s">
        <v>291</v>
      </c>
      <c r="J53" s="180" t="s">
        <v>294</v>
      </c>
      <c r="K53" s="169"/>
      <c r="L53" s="180" t="s">
        <v>287</v>
      </c>
      <c r="M53" s="181" t="s">
        <v>288</v>
      </c>
      <c r="N53" s="180" t="s">
        <v>289</v>
      </c>
      <c r="O53" s="180" t="s">
        <v>290</v>
      </c>
      <c r="P53" s="180" t="s">
        <v>291</v>
      </c>
      <c r="Q53" s="180" t="s">
        <v>294</v>
      </c>
      <c r="R53" s="85"/>
      <c r="S53" s="85"/>
      <c r="T53" s="85"/>
    </row>
    <row r="54" spans="2:23" ht="15" x14ac:dyDescent="0.25">
      <c r="B54" s="139"/>
      <c r="C54" s="56"/>
      <c r="D54" s="139"/>
      <c r="E54" s="169"/>
      <c r="F54" s="182"/>
      <c r="G54" s="169"/>
      <c r="H54" s="169"/>
      <c r="I54" s="169"/>
      <c r="J54" s="169"/>
      <c r="K54" s="169"/>
      <c r="L54" s="169"/>
      <c r="M54" s="182"/>
      <c r="N54" s="169"/>
      <c r="O54" s="169"/>
      <c r="P54" s="169"/>
      <c r="Q54" s="169"/>
      <c r="R54" s="85"/>
      <c r="S54" s="85"/>
      <c r="T54" s="85"/>
    </row>
    <row r="55" spans="2:23" x14ac:dyDescent="0.2">
      <c r="B55" s="26" t="s">
        <v>182</v>
      </c>
      <c r="D55" s="170">
        <v>0.1701246806909088</v>
      </c>
      <c r="E55" s="137">
        <f>((J$7*P$16)+$D$41-$D$42)/$F$7</f>
        <v>120.66857140242267</v>
      </c>
      <c r="F55" s="137">
        <f>((K$7*Q$16)+$D$41-$D$42)/$F$7</f>
        <v>327.00212124446875</v>
      </c>
      <c r="G55" s="137">
        <f>((L$7*R$16)+$D$41-$D$42)/$F$7</f>
        <v>434.48663359031843</v>
      </c>
      <c r="H55" s="137">
        <f>M$7*S$16</f>
        <v>204.03260731182797</v>
      </c>
      <c r="I55" s="137">
        <f>N$7*T$16</f>
        <v>271.28005972474682</v>
      </c>
      <c r="J55" s="137">
        <f>($J$7*$U$16)/$F$7</f>
        <v>73.441792536171377</v>
      </c>
      <c r="K55" s="6"/>
      <c r="L55" s="137">
        <f>((P$17*J$7)+$D$42-$D$41)/$F$7</f>
        <v>824.79890568107032</v>
      </c>
      <c r="M55" s="137">
        <f>((Q$17*K$7)+$D$42-$D$41)/$F$7</f>
        <v>625.7440674934669</v>
      </c>
      <c r="N55" s="137">
        <f>((R$17*L$7)+$D$42-$D$41)/$F$7</f>
        <v>630.54835090154245</v>
      </c>
      <c r="O55" s="137">
        <f>S$17*M$7</f>
        <v>680.43349397590362</v>
      </c>
      <c r="P55" s="137">
        <f>T$17*N$7</f>
        <v>1999.3400818604653</v>
      </c>
      <c r="Q55" s="137">
        <f>($J$7*U17)/$F$7</f>
        <v>858.52099014461294</v>
      </c>
      <c r="R55" s="85"/>
      <c r="S55" s="85"/>
      <c r="T55" s="85"/>
    </row>
    <row r="56" spans="2:23" x14ac:dyDescent="0.2">
      <c r="B56" s="26" t="s">
        <v>201</v>
      </c>
      <c r="D56" s="170">
        <v>0.8044186772796067</v>
      </c>
      <c r="E56" s="137">
        <f>((J$7*P$26)+$D$41-$D$42)/$F$7</f>
        <v>291.63605529533646</v>
      </c>
      <c r="F56" s="137">
        <f>((K$7*Q$26)+$D$41-$D$42)/$F$7</f>
        <v>405.8233141535643</v>
      </c>
      <c r="G56" s="137">
        <f>((L$7*R$26)+$D$41-$D$42)/$F$7</f>
        <v>420.90862893244849</v>
      </c>
      <c r="H56" s="137">
        <f>M$7*S$26</f>
        <v>425.68054587688744</v>
      </c>
      <c r="I56" s="137">
        <f>N$7*T$26</f>
        <v>340.84134852216749</v>
      </c>
      <c r="J56" s="137">
        <f>($J$7*U26)/$F$7</f>
        <v>251.43593178961993</v>
      </c>
      <c r="K56" s="6"/>
      <c r="L56" s="137">
        <f>((P$27*J$7)+$D$42-$D$41)/$F$7</f>
        <v>417.76184345764403</v>
      </c>
      <c r="M56" s="137">
        <f>((Q$27*K$7)+$D$42-$D$41)/$F$7</f>
        <v>1521.9562087258466</v>
      </c>
      <c r="N56" s="137">
        <f>((R$27*L$7)+$D$42-$D$41)/$F$7</f>
        <v>2089.9380425843005</v>
      </c>
      <c r="O56" s="137">
        <f>S$27*M$7</f>
        <v>1097.2561523809522</v>
      </c>
      <c r="P56" s="137">
        <f>T$27*N$7</f>
        <v>1062.4398443579767</v>
      </c>
      <c r="Q56" s="137">
        <f>($J$7*U27)/$F$7</f>
        <v>482.39384835112764</v>
      </c>
      <c r="R56" s="85"/>
      <c r="S56" s="85"/>
      <c r="T56" s="85"/>
    </row>
    <row r="57" spans="2:23" x14ac:dyDescent="0.2">
      <c r="B57" s="26" t="s">
        <v>202</v>
      </c>
      <c r="D57" s="170">
        <v>2.5456642029484541E-2</v>
      </c>
      <c r="E57" s="137">
        <f>((J$7*P$36)+$D$41-$D$42)/$F$7</f>
        <v>151.9908913007603</v>
      </c>
      <c r="F57" s="137">
        <f>((K$7*Q$36)+$D$41-$D$42)/$F$7</f>
        <v>210.29037699334978</v>
      </c>
      <c r="G57" s="137">
        <f>((L$7*R$36)+$D$41-$D$42)/$F$7</f>
        <v>253.95840999193524</v>
      </c>
      <c r="H57" s="137">
        <f>M$7*S$36</f>
        <v>215.43422092203883</v>
      </c>
      <c r="I57" s="137">
        <f>N$7*T$36</f>
        <v>159.04684203516251</v>
      </c>
      <c r="J57" s="137">
        <f>($J$7*U36)/$F$7</f>
        <v>71.792173154473403</v>
      </c>
      <c r="K57" s="6"/>
      <c r="L57" s="137">
        <f>((P$37*J$7)+$D$42-$D$41)/$F$7</f>
        <v>162.93333558847425</v>
      </c>
      <c r="M57" s="137">
        <f>((Q$37*K$7)+$D$42-$D$41)/$F$7</f>
        <v>289.92568535751536</v>
      </c>
      <c r="N57" s="137">
        <f>((R$37*L$7)+$D$42-$D$41)/$F$7</f>
        <v>337.87010486611712</v>
      </c>
      <c r="O57" s="137">
        <f>S$37*M$7</f>
        <v>500.21340820312503</v>
      </c>
      <c r="P57" s="137">
        <f>T$37*N$7</f>
        <v>387.37164134078211</v>
      </c>
      <c r="Q57" s="137">
        <f>($J$7*U37)/$F$7</f>
        <v>204.14629034869142</v>
      </c>
      <c r="R57" s="85"/>
      <c r="S57" s="85"/>
      <c r="T57" s="85"/>
    </row>
    <row r="58" spans="2:23" ht="15" x14ac:dyDescent="0.25">
      <c r="B58" s="95" t="s">
        <v>317</v>
      </c>
      <c r="C58" s="96"/>
      <c r="D58" s="185">
        <f>SUM(D55:D57)</f>
        <v>1</v>
      </c>
      <c r="E58" s="186">
        <f t="shared" ref="E58:J58" si="14">SUMPRODUCT($D$55:$D$57,E55:E57)</f>
        <v>258.99536973856783</v>
      </c>
      <c r="F58" s="186">
        <f t="shared" si="14"/>
        <v>387.43627189196667</v>
      </c>
      <c r="G58" s="186">
        <f t="shared" si="14"/>
        <v>418.9685906789756</v>
      </c>
      <c r="H58" s="186">
        <f t="shared" si="14"/>
        <v>382.62059567031827</v>
      </c>
      <c r="I58" s="186">
        <f t="shared" si="14"/>
        <v>324.37937880249171</v>
      </c>
      <c r="J58" s="186">
        <f t="shared" si="14"/>
        <v>216.5816088278678</v>
      </c>
      <c r="K58" s="184"/>
      <c r="L58" s="186">
        <f t="shared" ref="L58:Q58" si="15">SUMPRODUCT($D$47:$D$49,L55:L57)</f>
        <v>480.52181559403687</v>
      </c>
      <c r="M58" s="186">
        <f t="shared" si="15"/>
        <v>1338.1250443645865</v>
      </c>
      <c r="N58" s="186">
        <f t="shared" si="15"/>
        <v>1797.0580709813385</v>
      </c>
      <c r="O58" s="186">
        <f t="shared" si="15"/>
        <v>1011.1456273002216</v>
      </c>
      <c r="P58" s="186">
        <f t="shared" si="15"/>
        <v>1204.6447285126283</v>
      </c>
      <c r="Q58" s="186">
        <f t="shared" si="15"/>
        <v>539.29910976828228</v>
      </c>
      <c r="R58" s="85"/>
      <c r="S58" s="85"/>
      <c r="T58" s="85"/>
    </row>
    <row r="59" spans="2:23" x14ac:dyDescent="0.2">
      <c r="H59" s="6"/>
      <c r="I59" s="6"/>
      <c r="J59" s="6"/>
      <c r="K59" s="6"/>
      <c r="L59" s="6"/>
      <c r="M59" s="6"/>
      <c r="N59" s="6"/>
      <c r="O59" s="6"/>
      <c r="P59" s="85"/>
      <c r="Q59" s="85"/>
      <c r="R59" s="85"/>
      <c r="S59" s="85"/>
      <c r="T59" s="85"/>
    </row>
    <row r="60" spans="2:23" x14ac:dyDescent="0.2">
      <c r="H60" s="6"/>
      <c r="I60" s="6"/>
      <c r="J60" s="6"/>
      <c r="K60" s="6"/>
      <c r="L60" s="6"/>
      <c r="M60" s="6"/>
      <c r="N60" s="6"/>
      <c r="O60" s="6"/>
      <c r="P60" s="85"/>
      <c r="Q60" s="85"/>
      <c r="R60" s="85"/>
      <c r="S60" s="85"/>
      <c r="T60" s="85"/>
    </row>
    <row r="61" spans="2:23" x14ac:dyDescent="0.2">
      <c r="F61" s="85"/>
      <c r="G61" s="82"/>
      <c r="H61" s="6"/>
      <c r="I61" s="6"/>
      <c r="J61" s="6"/>
      <c r="K61" s="6"/>
      <c r="L61" s="6"/>
      <c r="M61" s="6"/>
      <c r="N61" s="6"/>
      <c r="O61" s="6"/>
      <c r="P61" s="85"/>
      <c r="Q61" s="85"/>
      <c r="R61" s="85"/>
      <c r="S61" s="85"/>
      <c r="T61" s="85"/>
    </row>
    <row r="62" spans="2:23" x14ac:dyDescent="0.2">
      <c r="F62" s="85"/>
      <c r="G62" s="82"/>
      <c r="H62" s="6"/>
      <c r="I62" s="6"/>
      <c r="J62" s="6"/>
      <c r="K62" s="6"/>
      <c r="L62" s="6"/>
      <c r="M62" s="6"/>
      <c r="N62" s="6"/>
      <c r="O62" s="6"/>
      <c r="P62" s="85"/>
      <c r="Q62" s="85"/>
      <c r="R62" s="85"/>
      <c r="S62" s="85"/>
      <c r="T62" s="85"/>
    </row>
    <row r="63" spans="2:23" ht="15" x14ac:dyDescent="0.25">
      <c r="B63" s="187" t="s">
        <v>317</v>
      </c>
      <c r="C63" s="146"/>
      <c r="D63" s="187" t="s">
        <v>322</v>
      </c>
      <c r="E63" s="187" t="s">
        <v>318</v>
      </c>
      <c r="F63" s="187" t="s">
        <v>308</v>
      </c>
      <c r="G63" s="187" t="s">
        <v>309</v>
      </c>
      <c r="H63" s="187" t="s">
        <v>327</v>
      </c>
      <c r="J63" s="6"/>
      <c r="K63" s="6"/>
      <c r="L63" s="6"/>
      <c r="M63" s="6"/>
      <c r="N63" s="6"/>
      <c r="O63" s="6"/>
      <c r="P63" s="85"/>
      <c r="Q63" s="85"/>
      <c r="R63" s="85"/>
      <c r="S63" s="85"/>
      <c r="T63" s="85"/>
    </row>
    <row r="64" spans="2:23" x14ac:dyDescent="0.2">
      <c r="B64" s="26" t="s">
        <v>287</v>
      </c>
      <c r="D64" s="57">
        <v>259</v>
      </c>
      <c r="E64" s="57">
        <v>221.82</v>
      </c>
      <c r="F64" s="57">
        <v>432.84</v>
      </c>
      <c r="G64" s="57">
        <v>319.86</v>
      </c>
      <c r="H64" s="57">
        <v>7.5</v>
      </c>
      <c r="J64" s="6"/>
      <c r="K64" s="6"/>
      <c r="L64" s="6"/>
      <c r="M64" s="6"/>
      <c r="N64" s="6"/>
      <c r="O64" s="6"/>
      <c r="P64" s="85"/>
      <c r="Q64" s="85"/>
      <c r="R64" s="85"/>
      <c r="S64" s="85"/>
      <c r="T64" s="85"/>
    </row>
    <row r="65" spans="2:20" ht="15" x14ac:dyDescent="0.25">
      <c r="B65" s="26" t="s">
        <v>288</v>
      </c>
      <c r="C65" s="56"/>
      <c r="D65" s="57">
        <v>387.44</v>
      </c>
      <c r="E65" s="57">
        <v>950.69</v>
      </c>
      <c r="F65" s="57">
        <v>538.57000000000005</v>
      </c>
      <c r="G65" s="57">
        <v>619.24</v>
      </c>
      <c r="H65" s="57">
        <f t="shared" ref="H65:H70" si="16">H64-1</f>
        <v>6.5</v>
      </c>
      <c r="K65" s="6"/>
      <c r="L65" s="6"/>
      <c r="M65" s="6"/>
      <c r="N65" s="6"/>
      <c r="O65" s="6"/>
      <c r="P65" s="85"/>
      <c r="Q65" s="85"/>
      <c r="R65" s="85"/>
      <c r="S65" s="85"/>
      <c r="T65" s="85"/>
    </row>
    <row r="66" spans="2:20" x14ac:dyDescent="0.2">
      <c r="B66" s="26" t="s">
        <v>289</v>
      </c>
      <c r="D66" s="57">
        <v>418.97</v>
      </c>
      <c r="E66" s="57">
        <v>1378.09</v>
      </c>
      <c r="F66" s="57">
        <v>578.9</v>
      </c>
      <c r="G66" s="57">
        <v>762.01</v>
      </c>
      <c r="H66" s="57">
        <f t="shared" si="16"/>
        <v>5.5</v>
      </c>
      <c r="K66" s="6"/>
      <c r="L66" s="6"/>
      <c r="M66" s="6"/>
      <c r="N66" s="6"/>
      <c r="O66" s="6"/>
      <c r="P66" s="85"/>
      <c r="Q66" s="85"/>
      <c r="R66" s="85"/>
      <c r="S66" s="85"/>
      <c r="T66" s="85"/>
    </row>
    <row r="67" spans="2:20" x14ac:dyDescent="0.2">
      <c r="B67" s="26" t="s">
        <v>290</v>
      </c>
      <c r="D67" s="57">
        <v>382.62</v>
      </c>
      <c r="E67" s="57">
        <v>628.53</v>
      </c>
      <c r="F67" s="57">
        <v>470.16</v>
      </c>
      <c r="G67" s="57">
        <v>583.52</v>
      </c>
      <c r="H67" s="57">
        <f t="shared" si="16"/>
        <v>4.5</v>
      </c>
      <c r="K67" s="6"/>
      <c r="L67" s="6"/>
      <c r="M67" s="6"/>
      <c r="N67" s="6"/>
      <c r="O67" s="6"/>
      <c r="P67" s="85"/>
      <c r="Q67" s="85"/>
      <c r="R67" s="85"/>
      <c r="S67" s="85"/>
      <c r="T67" s="85"/>
    </row>
    <row r="68" spans="2:20" x14ac:dyDescent="0.2">
      <c r="B68" s="26" t="s">
        <v>291</v>
      </c>
      <c r="D68" s="57">
        <v>324.38</v>
      </c>
      <c r="E68" s="57">
        <v>880.2600000000001</v>
      </c>
      <c r="F68" s="57">
        <v>805.16</v>
      </c>
      <c r="G68" s="57">
        <v>784.83</v>
      </c>
      <c r="H68" s="57">
        <f t="shared" si="16"/>
        <v>3.5</v>
      </c>
      <c r="K68" s="6"/>
      <c r="L68" s="6"/>
      <c r="M68" s="6"/>
      <c r="N68" s="6"/>
      <c r="O68" s="6"/>
      <c r="P68" s="85"/>
      <c r="Q68" s="85"/>
      <c r="R68" s="85"/>
      <c r="S68" s="85"/>
      <c r="T68" s="85"/>
    </row>
    <row r="69" spans="2:20" x14ac:dyDescent="0.2">
      <c r="B69" s="26" t="s">
        <v>294</v>
      </c>
      <c r="D69" s="57">
        <v>216.58</v>
      </c>
      <c r="E69" s="57">
        <v>322.71999999999991</v>
      </c>
      <c r="F69" s="57">
        <v>360.35</v>
      </c>
      <c r="G69" s="57">
        <v>369.15</v>
      </c>
      <c r="H69" s="57">
        <f t="shared" si="16"/>
        <v>2.5</v>
      </c>
      <c r="K69" s="6"/>
      <c r="L69" s="6"/>
      <c r="M69" s="6"/>
      <c r="N69" s="6"/>
      <c r="O69" s="6"/>
      <c r="P69" s="85"/>
      <c r="Q69" s="85"/>
      <c r="R69" s="85"/>
      <c r="S69" s="85"/>
      <c r="T69" s="85"/>
    </row>
    <row r="70" spans="2:20" x14ac:dyDescent="0.2">
      <c r="B70" s="26" t="s">
        <v>319</v>
      </c>
      <c r="D70" s="57">
        <v>470.54</v>
      </c>
      <c r="E70" s="57">
        <v>195.33</v>
      </c>
      <c r="F70" s="57">
        <v>541.86</v>
      </c>
      <c r="G70" s="57">
        <v>548.25</v>
      </c>
      <c r="H70" s="57">
        <f t="shared" si="16"/>
        <v>1.5</v>
      </c>
      <c r="K70" s="6"/>
      <c r="L70" s="6"/>
      <c r="M70" s="6"/>
      <c r="N70" s="6"/>
      <c r="O70" s="6"/>
      <c r="P70" s="85"/>
      <c r="Q70" s="85"/>
      <c r="R70" s="85"/>
      <c r="S70" s="85"/>
      <c r="T70" s="85"/>
    </row>
    <row r="71" spans="2:20" x14ac:dyDescent="0.2">
      <c r="D71" s="57"/>
      <c r="E71" s="85"/>
      <c r="F71" s="147"/>
      <c r="G71" s="147"/>
      <c r="K71" s="6"/>
      <c r="L71" s="6"/>
      <c r="M71" s="6"/>
      <c r="N71" s="6"/>
      <c r="O71" s="6"/>
      <c r="P71" s="85"/>
      <c r="Q71" s="85"/>
      <c r="R71" s="85"/>
      <c r="S71" s="85"/>
      <c r="T71" s="85"/>
    </row>
    <row r="72" spans="2:20" x14ac:dyDescent="0.2">
      <c r="D72" s="183"/>
      <c r="E72" s="192"/>
      <c r="F72" s="147"/>
      <c r="G72" s="147"/>
      <c r="I72" s="57"/>
      <c r="J72" s="6"/>
      <c r="K72" s="6"/>
      <c r="L72" s="6"/>
      <c r="M72" s="6"/>
      <c r="N72" s="6"/>
      <c r="O72" s="6"/>
      <c r="P72" s="85"/>
      <c r="Q72" s="85"/>
      <c r="R72" s="85"/>
      <c r="S72" s="85"/>
      <c r="T72" s="85"/>
    </row>
    <row r="73" spans="2:20" x14ac:dyDescent="0.2"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5" spans="2:20" x14ac:dyDescent="0.2">
      <c r="N75" s="57"/>
    </row>
  </sheetData>
  <mergeCells count="12">
    <mergeCell ref="B52:B53"/>
    <mergeCell ref="D52:D53"/>
    <mergeCell ref="E52:J52"/>
    <mergeCell ref="L52:Q52"/>
    <mergeCell ref="P4:U4"/>
    <mergeCell ref="B4:B5"/>
    <mergeCell ref="J4:N4"/>
    <mergeCell ref="D4:H4"/>
    <mergeCell ref="E44:J44"/>
    <mergeCell ref="L44:Q44"/>
    <mergeCell ref="B44:B45"/>
    <mergeCell ref="D44:D4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2E29-18F8-452D-ABBF-8BE3787422DE}">
  <dimension ref="B2:S30"/>
  <sheetViews>
    <sheetView showGridLines="0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4" sqref="H14"/>
    </sheetView>
  </sheetViews>
  <sheetFormatPr defaultColWidth="9.140625" defaultRowHeight="14.25" x14ac:dyDescent="0.2"/>
  <cols>
    <col min="1" max="1" width="4.7109375" style="26" customWidth="1"/>
    <col min="2" max="2" width="40.7109375" style="26" customWidth="1"/>
    <col min="3" max="3" width="4.7109375" style="26" customWidth="1"/>
    <col min="4" max="18" width="9.7109375" style="26" customWidth="1"/>
    <col min="19" max="16384" width="9.140625" style="26"/>
  </cols>
  <sheetData>
    <row r="2" spans="2:19" x14ac:dyDescent="0.2">
      <c r="B2" s="3" t="s">
        <v>0</v>
      </c>
      <c r="C2" s="3"/>
      <c r="D2" s="3">
        <v>2021</v>
      </c>
      <c r="E2" s="3">
        <f>D2+1</f>
        <v>2022</v>
      </c>
      <c r="F2" s="3">
        <f t="shared" ref="F2:R2" si="0">E2+1</f>
        <v>2023</v>
      </c>
      <c r="G2" s="3">
        <f t="shared" si="0"/>
        <v>2024</v>
      </c>
      <c r="H2" s="3">
        <f t="shared" si="0"/>
        <v>2025</v>
      </c>
      <c r="I2" s="104">
        <f t="shared" si="0"/>
        <v>2026</v>
      </c>
      <c r="J2" s="27">
        <f t="shared" si="0"/>
        <v>2027</v>
      </c>
      <c r="K2" s="27">
        <f t="shared" si="0"/>
        <v>2028</v>
      </c>
      <c r="L2" s="27">
        <f t="shared" si="0"/>
        <v>2029</v>
      </c>
      <c r="M2" s="27">
        <f t="shared" si="0"/>
        <v>2030</v>
      </c>
      <c r="N2" s="27">
        <f t="shared" si="0"/>
        <v>2031</v>
      </c>
      <c r="O2" s="27">
        <f t="shared" si="0"/>
        <v>2032</v>
      </c>
      <c r="P2" s="27">
        <f t="shared" si="0"/>
        <v>2033</v>
      </c>
      <c r="Q2" s="27">
        <f t="shared" si="0"/>
        <v>2034</v>
      </c>
      <c r="R2" s="27">
        <f t="shared" si="0"/>
        <v>2035</v>
      </c>
    </row>
    <row r="4" spans="2:19" ht="15" x14ac:dyDescent="0.25">
      <c r="B4" s="24" t="s">
        <v>347</v>
      </c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2:19" ht="3.95" customHeight="1" x14ac:dyDescent="0.2"/>
    <row r="6" spans="2:19" x14ac:dyDescent="0.2">
      <c r="B6" s="129" t="s">
        <v>352</v>
      </c>
      <c r="D6" s="81">
        <f>'Inputs FS'!D34/'Inputs FS'!D31</f>
        <v>0.74520994700366894</v>
      </c>
      <c r="E6" s="81">
        <f>'Inputs FS'!E34/'Inputs FS'!E31</f>
        <v>0.85105599625129702</v>
      </c>
      <c r="F6" s="81">
        <f>'Inputs FS'!F34/'Inputs FS'!F31</f>
        <v>0.84786277423742473</v>
      </c>
      <c r="G6" s="81">
        <f>'Inputs FS'!G34/'Inputs FS'!G31</f>
        <v>0.83790971064350694</v>
      </c>
      <c r="H6" s="81">
        <f>'Inputs FS'!H34/'Inputs FS'!H31</f>
        <v>0.83481949954825785</v>
      </c>
      <c r="I6" s="81">
        <v>0.83</v>
      </c>
      <c r="J6" s="81">
        <v>0.83</v>
      </c>
      <c r="K6" s="81">
        <v>0.83</v>
      </c>
      <c r="L6" s="81">
        <v>0.83</v>
      </c>
      <c r="M6" s="81">
        <v>0.83</v>
      </c>
      <c r="N6" s="81">
        <v>0.83</v>
      </c>
      <c r="O6" s="81">
        <v>0.83</v>
      </c>
      <c r="P6" s="81">
        <v>0.83</v>
      </c>
      <c r="Q6" s="81">
        <v>0.83</v>
      </c>
      <c r="R6" s="81">
        <v>0.83</v>
      </c>
    </row>
    <row r="7" spans="2:19" x14ac:dyDescent="0.2">
      <c r="B7" s="129" t="s">
        <v>353</v>
      </c>
      <c r="D7" s="81">
        <f>'Inputs FS'!D31/'Inputs FS'!D28</f>
        <v>0.95336183443451228</v>
      </c>
      <c r="E7" s="81">
        <f>'Inputs FS'!E31/'Inputs FS'!E28</f>
        <v>0.9540185841555705</v>
      </c>
      <c r="F7" s="81">
        <f>'Inputs FS'!F31/'Inputs FS'!F28</f>
        <v>0.96335929727499936</v>
      </c>
      <c r="G7" s="81">
        <f>'Inputs FS'!G31/'Inputs FS'!G28</f>
        <v>0.97329553624617404</v>
      </c>
      <c r="H7" s="81">
        <f>'Inputs FS'!H31/'Inputs FS'!H28</f>
        <v>0.95480459080339064</v>
      </c>
      <c r="I7" s="81">
        <f>AVERAGE(D7:H7)</f>
        <v>0.95976796858292934</v>
      </c>
      <c r="J7" s="81">
        <f t="shared" ref="J7:R7" si="1">AVERAGE(E7:I7)</f>
        <v>0.96104919541261291</v>
      </c>
      <c r="K7" s="81">
        <f t="shared" si="1"/>
        <v>0.96245531766402126</v>
      </c>
      <c r="L7" s="81">
        <f t="shared" si="1"/>
        <v>0.96227452174182559</v>
      </c>
      <c r="M7" s="81">
        <f t="shared" si="1"/>
        <v>0.96007031884095595</v>
      </c>
      <c r="N7" s="81">
        <f t="shared" si="1"/>
        <v>0.96112346444846908</v>
      </c>
      <c r="O7" s="81">
        <f t="shared" si="1"/>
        <v>0.96139456362157694</v>
      </c>
      <c r="P7" s="81">
        <f t="shared" si="1"/>
        <v>0.9614636372633697</v>
      </c>
      <c r="Q7" s="81">
        <f t="shared" si="1"/>
        <v>0.9612653011832395</v>
      </c>
      <c r="R7" s="81">
        <f t="shared" si="1"/>
        <v>0.96106345707152219</v>
      </c>
    </row>
    <row r="8" spans="2:19" x14ac:dyDescent="0.2">
      <c r="B8" s="129" t="s">
        <v>348</v>
      </c>
      <c r="D8" s="81">
        <f>'Inputs FS'!D28/'Inputs FS'!D6</f>
        <v>0.15730588954554717</v>
      </c>
      <c r="E8" s="81">
        <f>'Inputs FS'!E28/'Inputs FS'!E6</f>
        <v>0.15091075558982267</v>
      </c>
      <c r="F8" s="81">
        <f>'Inputs FS'!F28/'Inputs FS'!F6</f>
        <v>0.17766425245732023</v>
      </c>
      <c r="G8" s="81">
        <f>'Inputs FS'!G28/'Inputs FS'!G6</f>
        <v>0.19567891309590804</v>
      </c>
      <c r="H8" s="81">
        <f>'Inputs FS'!H28/'Inputs FS'!H6</f>
        <v>0.194272806761877</v>
      </c>
      <c r="I8" s="81">
        <f>H8+($R$8-$H$8)/10</f>
        <v>0.19684552608568931</v>
      </c>
      <c r="J8" s="81">
        <f t="shared" ref="J8:Q8" si="2">I8+($R$8-$H$8)/10</f>
        <v>0.19941824540950162</v>
      </c>
      <c r="K8" s="81">
        <f t="shared" si="2"/>
        <v>0.20199096473331393</v>
      </c>
      <c r="L8" s="81">
        <f t="shared" si="2"/>
        <v>0.20456368405712624</v>
      </c>
      <c r="M8" s="81">
        <f t="shared" si="2"/>
        <v>0.20713640338093856</v>
      </c>
      <c r="N8" s="81">
        <f t="shared" si="2"/>
        <v>0.20970912270475087</v>
      </c>
      <c r="O8" s="81">
        <f t="shared" si="2"/>
        <v>0.21228184202856318</v>
      </c>
      <c r="P8" s="81">
        <f t="shared" si="2"/>
        <v>0.21485456135237549</v>
      </c>
      <c r="Q8" s="81">
        <f t="shared" si="2"/>
        <v>0.2174272806761878</v>
      </c>
      <c r="R8" s="81">
        <v>0.22</v>
      </c>
      <c r="S8" s="81"/>
    </row>
    <row r="9" spans="2:19" x14ac:dyDescent="0.2">
      <c r="B9" s="129" t="s">
        <v>349</v>
      </c>
      <c r="D9" s="57">
        <f>'Inputs FS'!D6/'Inputs FS'!D89</f>
        <v>0.57683604196667349</v>
      </c>
      <c r="E9" s="57">
        <f>'Inputs FS'!E6/'Inputs FS'!E89</f>
        <v>0.59266028844780805</v>
      </c>
      <c r="F9" s="57">
        <f>'Inputs FS'!F6/'Inputs FS'!F89</f>
        <v>0.60355953372189841</v>
      </c>
      <c r="G9" s="57">
        <f>'Inputs FS'!G6/'Inputs FS'!G89</f>
        <v>0.64818530001823815</v>
      </c>
      <c r="H9" s="57">
        <f>'Inputs FS'!H6/'Inputs FS'!H89</f>
        <v>0.66538992994109236</v>
      </c>
      <c r="I9" s="66">
        <f>AVERAGE($D$9:$H$9)</f>
        <v>0.61732621881914207</v>
      </c>
      <c r="J9" s="66">
        <f t="shared" ref="J9:R9" si="3">AVERAGE($D$9:$H$9)</f>
        <v>0.61732621881914207</v>
      </c>
      <c r="K9" s="66">
        <f t="shared" si="3"/>
        <v>0.61732621881914207</v>
      </c>
      <c r="L9" s="66">
        <f t="shared" si="3"/>
        <v>0.61732621881914207</v>
      </c>
      <c r="M9" s="66">
        <f t="shared" si="3"/>
        <v>0.61732621881914207</v>
      </c>
      <c r="N9" s="66">
        <f t="shared" si="3"/>
        <v>0.61732621881914207</v>
      </c>
      <c r="O9" s="66">
        <f t="shared" si="3"/>
        <v>0.61732621881914207</v>
      </c>
      <c r="P9" s="66">
        <f t="shared" si="3"/>
        <v>0.61732621881914207</v>
      </c>
      <c r="Q9" s="66">
        <f t="shared" si="3"/>
        <v>0.61732621881914207</v>
      </c>
      <c r="R9" s="66">
        <f t="shared" si="3"/>
        <v>0.61732621881914207</v>
      </c>
    </row>
    <row r="10" spans="2:19" x14ac:dyDescent="0.2">
      <c r="B10" s="129" t="s">
        <v>350</v>
      </c>
      <c r="D10" s="57">
        <f>'Inputs FS'!D89/'Inputs FS'!D99</f>
        <v>2.0683849006139443</v>
      </c>
      <c r="E10" s="57">
        <f>'Inputs FS'!E89/'Inputs FS'!E99</f>
        <v>2.050658857979502</v>
      </c>
      <c r="F10" s="57">
        <f>'Inputs FS'!F89/'Inputs FS'!F99</f>
        <v>2.0154176936388906</v>
      </c>
      <c r="G10" s="57">
        <f>'Inputs FS'!G89/'Inputs FS'!G99</f>
        <v>2.0711780260104691</v>
      </c>
      <c r="H10" s="57">
        <f>'Inputs FS'!H89/'Inputs FS'!H99</f>
        <v>2.1188042529148903</v>
      </c>
      <c r="I10" s="66">
        <f>AVERAGE(D10:H10)</f>
        <v>2.0648887462315391</v>
      </c>
      <c r="J10" s="66">
        <f t="shared" ref="J10:R10" si="4">AVERAGE(E10:I10)</f>
        <v>2.064189515355058</v>
      </c>
      <c r="K10" s="66">
        <f t="shared" si="4"/>
        <v>2.0668956468301696</v>
      </c>
      <c r="L10" s="66">
        <f t="shared" si="4"/>
        <v>2.0771912374684249</v>
      </c>
      <c r="M10" s="66">
        <f t="shared" si="4"/>
        <v>2.0783938797600161</v>
      </c>
      <c r="N10" s="66">
        <f t="shared" si="4"/>
        <v>2.0703118051290419</v>
      </c>
      <c r="O10" s="66">
        <f t="shared" si="4"/>
        <v>2.0713964169085424</v>
      </c>
      <c r="P10" s="66">
        <f t="shared" si="4"/>
        <v>2.0728377972192389</v>
      </c>
      <c r="Q10" s="66">
        <f t="shared" si="4"/>
        <v>2.0740262272970527</v>
      </c>
      <c r="R10" s="66">
        <f t="shared" si="4"/>
        <v>2.0733932252627785</v>
      </c>
    </row>
    <row r="11" spans="2:19" ht="15.75" thickBot="1" x14ac:dyDescent="0.3">
      <c r="B11" s="58" t="s">
        <v>351</v>
      </c>
      <c r="C11" s="58"/>
      <c r="D11" s="89">
        <f t="shared" ref="D11:R11" si="5">PRODUCT(D6:D10)</f>
        <v>0.13334143821044311</v>
      </c>
      <c r="E11" s="89">
        <f t="shared" si="5"/>
        <v>0.14891361639824305</v>
      </c>
      <c r="F11" s="89">
        <f t="shared" si="5"/>
        <v>0.17652210393832923</v>
      </c>
      <c r="G11" s="89">
        <f t="shared" si="5"/>
        <v>0.21424100156494527</v>
      </c>
      <c r="H11" s="89">
        <f t="shared" si="5"/>
        <v>0.21831629770404232</v>
      </c>
      <c r="I11" s="89">
        <f t="shared" si="5"/>
        <v>0.19988549152857243</v>
      </c>
      <c r="J11" s="89">
        <f t="shared" si="5"/>
        <v>0.20269960059555056</v>
      </c>
      <c r="K11" s="89">
        <f t="shared" si="5"/>
        <v>0.20588461058495328</v>
      </c>
      <c r="L11" s="89">
        <f t="shared" si="5"/>
        <v>0.20950617132950705</v>
      </c>
      <c r="M11" s="89">
        <f t="shared" si="5"/>
        <v>0.21177765948773286</v>
      </c>
      <c r="N11" s="89">
        <f t="shared" si="5"/>
        <v>0.21380855426977258</v>
      </c>
      <c r="O11" s="89">
        <f t="shared" si="5"/>
        <v>0.21660603122613328</v>
      </c>
      <c r="P11" s="89">
        <f t="shared" si="5"/>
        <v>0.21939947098307794</v>
      </c>
      <c r="Q11" s="89">
        <f t="shared" si="5"/>
        <v>0.22210808056963122</v>
      </c>
      <c r="R11" s="89">
        <f t="shared" si="5"/>
        <v>0.22462042006528377</v>
      </c>
    </row>
    <row r="14" spans="2:19" ht="15" x14ac:dyDescent="0.25"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2:19" ht="15" x14ac:dyDescent="0.25"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2:19" ht="15" x14ac:dyDescent="0.25"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2:14" ht="3.95" customHeight="1" x14ac:dyDescent="0.25"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2:14" ht="15" x14ac:dyDescent="0.25"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2:14" ht="15" x14ac:dyDescent="0.25"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2:14" ht="15" x14ac:dyDescent="0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5" x14ac:dyDescent="0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 x14ac:dyDescent="0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 x14ac:dyDescent="0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 x14ac:dyDescent="0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 x14ac:dyDescent="0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 x14ac:dyDescent="0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 x14ac:dyDescent="0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 x14ac:dyDescent="0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 x14ac:dyDescent="0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 x14ac:dyDescent="0.25">
      <c r="B30"/>
      <c r="C30"/>
      <c r="D30"/>
      <c r="E30"/>
      <c r="F30"/>
      <c r="G30"/>
      <c r="H30"/>
      <c r="I30"/>
      <c r="J30"/>
      <c r="K30"/>
      <c r="L30"/>
      <c r="M30"/>
      <c r="N3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 FS</vt:lpstr>
      <vt:lpstr>R&amp;D_Cap</vt:lpstr>
      <vt:lpstr>WACC</vt:lpstr>
      <vt:lpstr>DCF</vt:lpstr>
      <vt:lpstr>RV</vt:lpstr>
      <vt:lpstr>Dupont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</dc:creator>
  <cp:lastModifiedBy>Shashank Singh</cp:lastModifiedBy>
  <dcterms:created xsi:type="dcterms:W3CDTF">2026-05-12T11:40:51Z</dcterms:created>
  <dcterms:modified xsi:type="dcterms:W3CDTF">2026-07-01T17:02:19Z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{687F530E-C63A-44AE-8CFF-7804D7F4228A}</vt:lpwstr>
  </property>
</Properties>
</file>
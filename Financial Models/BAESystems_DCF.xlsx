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786414_ed_ac_uk/Documents/EUTIC_Industrials Group_MSF (Sem 2)/EUTIC Stock Pitch/Valuation/"/>
    </mc:Choice>
  </mc:AlternateContent>
  <xr:revisionPtr revIDLastSave="86" documentId="10_ncr:80_{EABAEBD1-3964-4F2B-889A-6B7A28594CCE}" xr6:coauthVersionLast="47" xr6:coauthVersionMax="47" xr10:uidLastSave="{1459C4A4-01CD-4B43-8370-231C8171355A}"/>
  <bookViews>
    <workbookView xWindow="-120" yWindow="-120" windowWidth="29040" windowHeight="15720" activeTab="4" xr2:uid="{C4B700B7-3E72-4392-B7C7-20D29B8364FE}"/>
  </bookViews>
  <sheets>
    <sheet name="Cover Page" sheetId="12" r:id="rId1"/>
    <sheet name="TOC" sheetId="11" r:id="rId2"/>
    <sheet name="Drivers" sheetId="2" r:id="rId3"/>
    <sheet name="IS" sheetId="3" r:id="rId4"/>
    <sheet name="WACC" sheetId="8" r:id="rId5"/>
    <sheet name="DCF" sheetId="10" r:id="rId6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"02/23/2026 12:03:00"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Z_533A6729_32A7_4C45_B8EF_31FE68A4042A_.wvu.Rows" localSheetId="2" hidden="1">Drivers!$13:$17</definedName>
  </definedNames>
  <calcPr calcId="191028" iterate="1"/>
  <customWorkbookViews>
    <customWorkbookView name="Shashank Singh - Personal View" guid="{533A6729-32A7-4C45-B8EF-31FE68A4042A}" mergeInterval="0" personalView="1" maximized="1" xWindow="-8" yWindow="-8" windowWidth="1936" windowHeight="104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0" l="1"/>
  <c r="B2" i="8"/>
  <c r="B2" i="3"/>
  <c r="B2" i="2"/>
  <c r="H35" i="10"/>
  <c r="C9" i="10"/>
  <c r="C8" i="10"/>
  <c r="E40" i="10"/>
  <c r="F40" i="10"/>
  <c r="G40" i="10"/>
  <c r="H40" i="10"/>
  <c r="I40" i="10"/>
  <c r="J40" i="10"/>
  <c r="D40" i="10"/>
  <c r="E38" i="10"/>
  <c r="F38" i="10" s="1"/>
  <c r="G38" i="10" s="1"/>
  <c r="H38" i="10" s="1"/>
  <c r="I38" i="10" s="1"/>
  <c r="J38" i="10" s="1"/>
  <c r="K38" i="10" s="1"/>
  <c r="L38" i="10" s="1"/>
  <c r="M38" i="10" s="1"/>
  <c r="N38" i="10" s="1"/>
  <c r="O38" i="10" s="1"/>
  <c r="E6" i="10"/>
  <c r="F6" i="10" s="1"/>
  <c r="G6" i="10" s="1"/>
  <c r="H6" i="10" s="1"/>
  <c r="M19" i="8"/>
  <c r="G8" i="8"/>
  <c r="G7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21" i="8"/>
  <c r="C9" i="8"/>
  <c r="E5" i="3"/>
  <c r="F5" i="3" s="1"/>
  <c r="G5" i="3" s="1"/>
  <c r="H5" i="3" s="1"/>
  <c r="I5" i="3" s="1"/>
  <c r="J5" i="3" s="1"/>
  <c r="K5" i="3" s="1"/>
  <c r="L5" i="3" s="1"/>
  <c r="M5" i="3" s="1"/>
  <c r="N5" i="3" s="1"/>
  <c r="O5" i="3" s="1"/>
  <c r="D8" i="11"/>
  <c r="D9" i="11" s="1"/>
  <c r="D10" i="11" s="1"/>
  <c r="M40" i="10" l="1"/>
  <c r="M39" i="10" s="1"/>
  <c r="F8" i="10" s="1"/>
  <c r="L40" i="10"/>
  <c r="L39" i="10" s="1"/>
  <c r="E8" i="10" s="1"/>
  <c r="N40" i="10"/>
  <c r="N39" i="10" s="1"/>
  <c r="G8" i="10" s="1"/>
  <c r="O40" i="10"/>
  <c r="O39" i="10" s="1"/>
  <c r="H8" i="10" s="1"/>
  <c r="K40" i="10"/>
  <c r="K39" i="10" s="1"/>
  <c r="D8" i="10" s="1"/>
  <c r="C10" i="10"/>
  <c r="C13" i="10"/>
  <c r="C16" i="10"/>
  <c r="D20" i="10" s="1"/>
  <c r="D21" i="10" s="1"/>
  <c r="P8" i="8"/>
  <c r="P9" i="8"/>
  <c r="F9" i="8"/>
  <c r="F13" i="8" s="1"/>
  <c r="P10" i="8"/>
  <c r="P11" i="8"/>
  <c r="P12" i="8"/>
  <c r="M13" i="8"/>
  <c r="N13" i="8"/>
  <c r="O13" i="8"/>
  <c r="I23" i="8"/>
  <c r="D18" i="3"/>
  <c r="E18" i="3"/>
  <c r="F18" i="3"/>
  <c r="G18" i="3"/>
  <c r="H18" i="3"/>
  <c r="I18" i="3"/>
  <c r="J18" i="3"/>
  <c r="D23" i="3"/>
  <c r="E23" i="3"/>
  <c r="F23" i="3"/>
  <c r="G23" i="3"/>
  <c r="H23" i="3"/>
  <c r="I23" i="3"/>
  <c r="J23" i="3"/>
  <c r="E48" i="3"/>
  <c r="F48" i="3"/>
  <c r="G48" i="3"/>
  <c r="H48" i="3"/>
  <c r="I48" i="3"/>
  <c r="J48" i="3"/>
  <c r="E5" i="2"/>
  <c r="F5" i="2" s="1"/>
  <c r="G5" i="2" s="1"/>
  <c r="H5" i="2" s="1"/>
  <c r="I5" i="2" s="1"/>
  <c r="J5" i="2" s="1"/>
  <c r="K5" i="2" s="1"/>
  <c r="L5" i="2" s="1"/>
  <c r="M5" i="2" s="1"/>
  <c r="N5" i="2" s="1"/>
  <c r="O5" i="2" s="1"/>
  <c r="D12" i="2"/>
  <c r="D18" i="2" s="1"/>
  <c r="E12" i="2"/>
  <c r="F12" i="2"/>
  <c r="G12" i="2"/>
  <c r="G18" i="2" s="1"/>
  <c r="H12" i="2"/>
  <c r="I12" i="2"/>
  <c r="I18" i="2" s="1"/>
  <c r="I21" i="2" s="1"/>
  <c r="J12" i="2"/>
  <c r="J18" i="2" s="1"/>
  <c r="J21" i="2" s="1"/>
  <c r="H18" i="2"/>
  <c r="H21" i="2" s="1"/>
  <c r="E20" i="2"/>
  <c r="F20" i="2"/>
  <c r="G20" i="2"/>
  <c r="H20" i="2"/>
  <c r="I20" i="2"/>
  <c r="J20" i="2"/>
  <c r="K24" i="2"/>
  <c r="D27" i="2"/>
  <c r="E27" i="2"/>
  <c r="F27" i="2"/>
  <c r="G27" i="2"/>
  <c r="H27" i="2"/>
  <c r="I27" i="2"/>
  <c r="J27" i="2"/>
  <c r="K27" i="2" s="1"/>
  <c r="L27" i="2" s="1"/>
  <c r="M27" i="2" s="1"/>
  <c r="N27" i="2" s="1"/>
  <c r="D28" i="2"/>
  <c r="E28" i="2"/>
  <c r="F28" i="2"/>
  <c r="G28" i="2"/>
  <c r="H28" i="2"/>
  <c r="I28" i="2"/>
  <c r="K31" i="2"/>
  <c r="L31" i="2"/>
  <c r="E32" i="2"/>
  <c r="F32" i="2"/>
  <c r="G32" i="2"/>
  <c r="H32" i="2"/>
  <c r="I32" i="2"/>
  <c r="J32" i="2"/>
  <c r="D34" i="2"/>
  <c r="E34" i="2"/>
  <c r="F34" i="2"/>
  <c r="G34" i="2"/>
  <c r="H34" i="2"/>
  <c r="I34" i="2"/>
  <c r="J34" i="2"/>
  <c r="D35" i="2"/>
  <c r="D36" i="2" s="1"/>
  <c r="E35" i="2"/>
  <c r="E36" i="2" s="1"/>
  <c r="F35" i="2"/>
  <c r="F36" i="2" s="1"/>
  <c r="G35" i="2"/>
  <c r="G36" i="2" s="1"/>
  <c r="H35" i="2"/>
  <c r="I35" i="2"/>
  <c r="I36" i="2" s="1"/>
  <c r="J35" i="2"/>
  <c r="H36" i="2"/>
  <c r="D40" i="2"/>
  <c r="D46" i="2" s="1"/>
  <c r="E40" i="2"/>
  <c r="E46" i="2" s="1"/>
  <c r="F40" i="2"/>
  <c r="F46" i="2" s="1"/>
  <c r="G40" i="2"/>
  <c r="G46" i="2" s="1"/>
  <c r="H40" i="2"/>
  <c r="H46" i="2" s="1"/>
  <c r="I40" i="2"/>
  <c r="I46" i="2" s="1"/>
  <c r="J40" i="2"/>
  <c r="J46" i="2" s="1"/>
  <c r="K46" i="2" s="1"/>
  <c r="E41" i="2"/>
  <c r="F41" i="2"/>
  <c r="G41" i="2"/>
  <c r="H41" i="2"/>
  <c r="I41" i="2"/>
  <c r="J41" i="2"/>
  <c r="K42" i="2"/>
  <c r="L42" i="2" s="1"/>
  <c r="M42" i="2" s="1"/>
  <c r="N42" i="2" s="1"/>
  <c r="D43" i="2"/>
  <c r="E43" i="2"/>
  <c r="F43" i="2"/>
  <c r="G43" i="2"/>
  <c r="H43" i="2"/>
  <c r="I43" i="2"/>
  <c r="J43" i="2"/>
  <c r="D47" i="2"/>
  <c r="E47" i="2"/>
  <c r="F47" i="2"/>
  <c r="G47" i="2"/>
  <c r="H47" i="2"/>
  <c r="I47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8" i="2"/>
  <c r="E58" i="2"/>
  <c r="F58" i="2"/>
  <c r="G58" i="2"/>
  <c r="H58" i="2"/>
  <c r="I58" i="2"/>
  <c r="J58" i="2"/>
  <c r="K58" i="2"/>
  <c r="L58" i="2"/>
  <c r="M58" i="2"/>
  <c r="N58" i="2"/>
  <c r="O58" i="2"/>
  <c r="C30" i="10" l="1"/>
  <c r="C29" i="10"/>
  <c r="P13" i="8"/>
  <c r="M21" i="8" s="1"/>
  <c r="M26" i="8" s="1"/>
  <c r="F14" i="8"/>
  <c r="K48" i="3"/>
  <c r="K35" i="3" s="1"/>
  <c r="K26" i="2"/>
  <c r="J28" i="2"/>
  <c r="J36" i="2"/>
  <c r="K36" i="2" s="1"/>
  <c r="L36" i="2" s="1"/>
  <c r="G7" i="3"/>
  <c r="G51" i="3" s="1"/>
  <c r="G21" i="2"/>
  <c r="D7" i="3"/>
  <c r="D41" i="3" s="1"/>
  <c r="D21" i="2"/>
  <c r="K20" i="2"/>
  <c r="L20" i="2" s="1"/>
  <c r="K12" i="2"/>
  <c r="L12" i="2" s="1"/>
  <c r="M12" i="2" s="1"/>
  <c r="K34" i="2"/>
  <c r="L34" i="2" s="1"/>
  <c r="K28" i="2"/>
  <c r="J47" i="2"/>
  <c r="F20" i="10"/>
  <c r="G20" i="10"/>
  <c r="H20" i="10"/>
  <c r="E20" i="10"/>
  <c r="L46" i="2"/>
  <c r="K52" i="2"/>
  <c r="L24" i="2"/>
  <c r="K53" i="2"/>
  <c r="K41" i="2"/>
  <c r="M31" i="2"/>
  <c r="F18" i="2"/>
  <c r="I7" i="3"/>
  <c r="E18" i="2"/>
  <c r="H7" i="3"/>
  <c r="J7" i="3"/>
  <c r="C7" i="8" l="1"/>
  <c r="C10" i="8" s="1"/>
  <c r="G13" i="8" s="1"/>
  <c r="E39" i="8"/>
  <c r="G9" i="8"/>
  <c r="G43" i="3"/>
  <c r="G40" i="3"/>
  <c r="D13" i="10"/>
  <c r="L48" i="3"/>
  <c r="L35" i="3" s="1"/>
  <c r="G44" i="3"/>
  <c r="K33" i="2"/>
  <c r="K35" i="2" s="1"/>
  <c r="K10" i="2" s="1"/>
  <c r="G9" i="3"/>
  <c r="G12" i="3" s="1"/>
  <c r="G16" i="3" s="1"/>
  <c r="G21" i="3" s="1"/>
  <c r="G26" i="3" s="1"/>
  <c r="G30" i="3" s="1"/>
  <c r="G33" i="3" s="1"/>
  <c r="G36" i="3" s="1"/>
  <c r="G46" i="3"/>
  <c r="G45" i="3"/>
  <c r="G42" i="3"/>
  <c r="G41" i="3"/>
  <c r="D40" i="3"/>
  <c r="D51" i="3"/>
  <c r="M36" i="2"/>
  <c r="N36" i="2" s="1"/>
  <c r="O36" i="2" s="1"/>
  <c r="D45" i="3"/>
  <c r="D43" i="3"/>
  <c r="D9" i="3"/>
  <c r="D12" i="3" s="1"/>
  <c r="D16" i="3" s="1"/>
  <c r="D21" i="3" s="1"/>
  <c r="D26" i="3" s="1"/>
  <c r="D29" i="3" s="1"/>
  <c r="K19" i="2"/>
  <c r="L19" i="2" s="1"/>
  <c r="L28" i="2"/>
  <c r="M28" i="2" s="1"/>
  <c r="L33" i="2"/>
  <c r="L35" i="2" s="1"/>
  <c r="L10" i="2" s="1"/>
  <c r="M34" i="2"/>
  <c r="N34" i="2" s="1"/>
  <c r="K47" i="2"/>
  <c r="L47" i="2" s="1"/>
  <c r="D46" i="3"/>
  <c r="D44" i="3"/>
  <c r="D42" i="3"/>
  <c r="K8" i="2"/>
  <c r="H51" i="3"/>
  <c r="H9" i="3"/>
  <c r="H12" i="3" s="1"/>
  <c r="H16" i="3" s="1"/>
  <c r="H21" i="3" s="1"/>
  <c r="H26" i="3" s="1"/>
  <c r="H40" i="3"/>
  <c r="H41" i="3"/>
  <c r="H42" i="3"/>
  <c r="H43" i="3"/>
  <c r="H44" i="3"/>
  <c r="H45" i="3"/>
  <c r="H46" i="3"/>
  <c r="E7" i="3"/>
  <c r="E21" i="2"/>
  <c r="N12" i="2"/>
  <c r="O12" i="2" s="1"/>
  <c r="M20" i="2"/>
  <c r="N20" i="2" s="1"/>
  <c r="O20" i="2" s="1"/>
  <c r="N31" i="2"/>
  <c r="K39" i="2"/>
  <c r="L53" i="2"/>
  <c r="M53" i="2" s="1"/>
  <c r="I46" i="3"/>
  <c r="I43" i="3"/>
  <c r="I51" i="3"/>
  <c r="I41" i="3"/>
  <c r="I45" i="3"/>
  <c r="I9" i="3"/>
  <c r="I12" i="3" s="1"/>
  <c r="I16" i="3" s="1"/>
  <c r="I21" i="3" s="1"/>
  <c r="I26" i="3" s="1"/>
  <c r="I42" i="3"/>
  <c r="I44" i="3"/>
  <c r="I40" i="3"/>
  <c r="L26" i="2"/>
  <c r="M24" i="2"/>
  <c r="M46" i="2"/>
  <c r="F7" i="3"/>
  <c r="F21" i="2"/>
  <c r="L41" i="2"/>
  <c r="J43" i="3"/>
  <c r="J42" i="3"/>
  <c r="J51" i="3"/>
  <c r="J45" i="3"/>
  <c r="J44" i="3"/>
  <c r="J41" i="3"/>
  <c r="J46" i="3"/>
  <c r="K51" i="2"/>
  <c r="K11" i="2" s="1"/>
  <c r="L52" i="2"/>
  <c r="C13" i="8" l="1"/>
  <c r="G14" i="8" s="1"/>
  <c r="G15" i="8" s="1"/>
  <c r="M48" i="3"/>
  <c r="N48" i="3" s="1"/>
  <c r="O48" i="3" s="1"/>
  <c r="E13" i="10"/>
  <c r="M35" i="3"/>
  <c r="N35" i="3" s="1"/>
  <c r="G29" i="3"/>
  <c r="D30" i="3"/>
  <c r="D33" i="3" s="1"/>
  <c r="D36" i="3" s="1"/>
  <c r="L8" i="2"/>
  <c r="M19" i="2"/>
  <c r="N28" i="2"/>
  <c r="O28" i="2" s="1"/>
  <c r="M47" i="2"/>
  <c r="N47" i="2" s="1"/>
  <c r="O47" i="2" s="1"/>
  <c r="M33" i="2"/>
  <c r="M35" i="2" s="1"/>
  <c r="M10" i="2" s="1"/>
  <c r="O34" i="2"/>
  <c r="M41" i="2"/>
  <c r="N41" i="2" s="1"/>
  <c r="O41" i="2" s="1"/>
  <c r="N33" i="2"/>
  <c r="N35" i="2" s="1"/>
  <c r="N10" i="2" s="1"/>
  <c r="O31" i="2"/>
  <c r="O33" i="2" s="1"/>
  <c r="O35" i="2" s="1"/>
  <c r="O10" i="2" s="1"/>
  <c r="M26" i="2"/>
  <c r="M8" i="2" s="1"/>
  <c r="N24" i="2"/>
  <c r="L51" i="2"/>
  <c r="L11" i="2" s="1"/>
  <c r="N52" i="2"/>
  <c r="N51" i="2" s="1"/>
  <c r="O52" i="2"/>
  <c r="O51" i="2" s="1"/>
  <c r="K43" i="2"/>
  <c r="L39" i="2"/>
  <c r="K40" i="2"/>
  <c r="K45" i="2" s="1"/>
  <c r="K9" i="2" s="1"/>
  <c r="K18" i="2" s="1"/>
  <c r="M52" i="2"/>
  <c r="M51" i="2" s="1"/>
  <c r="M11" i="2" s="1"/>
  <c r="H30" i="3"/>
  <c r="H33" i="3" s="1"/>
  <c r="H36" i="3" s="1"/>
  <c r="H29" i="3"/>
  <c r="N46" i="2"/>
  <c r="N19" i="2"/>
  <c r="O19" i="2" s="1"/>
  <c r="N53" i="2"/>
  <c r="O53" i="2" s="1"/>
  <c r="I30" i="3"/>
  <c r="I33" i="3" s="1"/>
  <c r="I36" i="3" s="1"/>
  <c r="I29" i="3"/>
  <c r="F51" i="3"/>
  <c r="F40" i="3"/>
  <c r="F41" i="3"/>
  <c r="F42" i="3"/>
  <c r="F43" i="3"/>
  <c r="F44" i="3"/>
  <c r="F45" i="3"/>
  <c r="F46" i="3"/>
  <c r="F9" i="3"/>
  <c r="F12" i="3" s="1"/>
  <c r="F16" i="3" s="1"/>
  <c r="F21" i="3" s="1"/>
  <c r="F26" i="3" s="1"/>
  <c r="E45" i="3"/>
  <c r="E43" i="3"/>
  <c r="E42" i="3"/>
  <c r="E44" i="3"/>
  <c r="E41" i="3"/>
  <c r="E46" i="3"/>
  <c r="E40" i="3"/>
  <c r="E9" i="3"/>
  <c r="E12" i="3" s="1"/>
  <c r="E16" i="3" s="1"/>
  <c r="E21" i="3" s="1"/>
  <c r="E26" i="3" s="1"/>
  <c r="E51" i="3"/>
  <c r="H21" i="10" l="1"/>
  <c r="G21" i="10"/>
  <c r="F21" i="10"/>
  <c r="E21" i="10"/>
  <c r="H34" i="10"/>
  <c r="F13" i="10"/>
  <c r="F30" i="3"/>
  <c r="F33" i="3" s="1"/>
  <c r="F36" i="3" s="1"/>
  <c r="F29" i="3"/>
  <c r="K41" i="3"/>
  <c r="J40" i="3"/>
  <c r="O11" i="2"/>
  <c r="L43" i="2"/>
  <c r="M39" i="2"/>
  <c r="L40" i="2"/>
  <c r="L45" i="2" s="1"/>
  <c r="L9" i="2" s="1"/>
  <c r="L18" i="2" s="1"/>
  <c r="K46" i="3"/>
  <c r="K44" i="3"/>
  <c r="K42" i="3"/>
  <c r="N11" i="2"/>
  <c r="K21" i="2"/>
  <c r="K7" i="3"/>
  <c r="O35" i="3"/>
  <c r="H13" i="10" s="1"/>
  <c r="G13" i="10"/>
  <c r="E30" i="3"/>
  <c r="E33" i="3" s="1"/>
  <c r="E36" i="3" s="1"/>
  <c r="E29" i="3"/>
  <c r="K51" i="3"/>
  <c r="K43" i="3"/>
  <c r="K45" i="3"/>
  <c r="O24" i="2"/>
  <c r="O26" i="2" s="1"/>
  <c r="O8" i="2" s="1"/>
  <c r="N26" i="2"/>
  <c r="N8" i="2" s="1"/>
  <c r="K50" i="3" l="1"/>
  <c r="D10" i="10" s="1"/>
  <c r="L51" i="3"/>
  <c r="L50" i="3" s="1"/>
  <c r="E10" i="10" s="1"/>
  <c r="L42" i="3"/>
  <c r="J8" i="3"/>
  <c r="J9" i="3" s="1"/>
  <c r="J12" i="3" s="1"/>
  <c r="J16" i="3" s="1"/>
  <c r="J21" i="3" s="1"/>
  <c r="J26" i="3" s="1"/>
  <c r="L44" i="3"/>
  <c r="L46" i="3"/>
  <c r="L45" i="3"/>
  <c r="M45" i="3" s="1"/>
  <c r="L21" i="2"/>
  <c r="L7" i="3"/>
  <c r="K24" i="3"/>
  <c r="K11" i="3"/>
  <c r="K19" i="3"/>
  <c r="K14" i="3"/>
  <c r="K25" i="3"/>
  <c r="K20" i="3"/>
  <c r="N39" i="2"/>
  <c r="M43" i="2"/>
  <c r="M40" i="2"/>
  <c r="M45" i="2" s="1"/>
  <c r="M9" i="2" s="1"/>
  <c r="M18" i="2" s="1"/>
  <c r="L41" i="3"/>
  <c r="M41" i="3" s="1"/>
  <c r="N41" i="3" s="1"/>
  <c r="M46" i="3"/>
  <c r="K40" i="3"/>
  <c r="L43" i="3"/>
  <c r="M43" i="3" s="1"/>
  <c r="N46" i="3" l="1"/>
  <c r="O46" i="3" s="1"/>
  <c r="K23" i="3"/>
  <c r="D9" i="10" s="1"/>
  <c r="D11" i="10" s="1"/>
  <c r="D14" i="10" s="1"/>
  <c r="M42" i="3"/>
  <c r="M44" i="3"/>
  <c r="N44" i="3" s="1"/>
  <c r="O44" i="3" s="1"/>
  <c r="N45" i="3"/>
  <c r="O45" i="3" s="1"/>
  <c r="M51" i="3"/>
  <c r="M50" i="3" s="1"/>
  <c r="F10" i="10" s="1"/>
  <c r="N40" i="2"/>
  <c r="N45" i="2" s="1"/>
  <c r="N9" i="2" s="1"/>
  <c r="N18" i="2" s="1"/>
  <c r="O39" i="2"/>
  <c r="N43" i="2"/>
  <c r="K8" i="3"/>
  <c r="K9" i="3" s="1"/>
  <c r="K12" i="3" s="1"/>
  <c r="K16" i="3" s="1"/>
  <c r="L40" i="3"/>
  <c r="M40" i="3" s="1"/>
  <c r="O41" i="3"/>
  <c r="L14" i="3"/>
  <c r="L24" i="3"/>
  <c r="L19" i="3"/>
  <c r="L11" i="3"/>
  <c r="L20" i="3"/>
  <c r="L25" i="3"/>
  <c r="N43" i="3"/>
  <c r="O43" i="3" s="1"/>
  <c r="M21" i="2"/>
  <c r="M7" i="3"/>
  <c r="J30" i="3"/>
  <c r="J33" i="3" s="1"/>
  <c r="J36" i="3" s="1"/>
  <c r="J29" i="3"/>
  <c r="C11" i="10" s="1"/>
  <c r="C14" i="10" s="1"/>
  <c r="K18" i="3"/>
  <c r="D23" i="10" l="1"/>
  <c r="K21" i="3"/>
  <c r="K26" i="3" s="1"/>
  <c r="N42" i="3"/>
  <c r="O42" i="3" s="1"/>
  <c r="L18" i="3"/>
  <c r="O40" i="2"/>
  <c r="O45" i="2" s="1"/>
  <c r="O9" i="2" s="1"/>
  <c r="O18" i="2" s="1"/>
  <c r="O43" i="2"/>
  <c r="N51" i="3"/>
  <c r="N21" i="2"/>
  <c r="N7" i="3"/>
  <c r="L8" i="3"/>
  <c r="L9" i="3" s="1"/>
  <c r="L12" i="3" s="1"/>
  <c r="L16" i="3" s="1"/>
  <c r="M14" i="3"/>
  <c r="M20" i="3"/>
  <c r="M8" i="3"/>
  <c r="M9" i="3" s="1"/>
  <c r="M24" i="3"/>
  <c r="M19" i="3"/>
  <c r="M11" i="3"/>
  <c r="M25" i="3"/>
  <c r="K28" i="3"/>
  <c r="K30" i="3" s="1"/>
  <c r="K33" i="3" s="1"/>
  <c r="K36" i="3" s="1"/>
  <c r="N40" i="3"/>
  <c r="O40" i="3" s="1"/>
  <c r="L23" i="3"/>
  <c r="E9" i="10" s="1"/>
  <c r="E11" i="10" s="1"/>
  <c r="E14" i="10" s="1"/>
  <c r="M12" i="3" l="1"/>
  <c r="M16" i="3" s="1"/>
  <c r="L21" i="3"/>
  <c r="L26" i="3" s="1"/>
  <c r="E23" i="10"/>
  <c r="N20" i="3"/>
  <c r="N14" i="3"/>
  <c r="N8" i="3"/>
  <c r="N9" i="3"/>
  <c r="N24" i="3"/>
  <c r="N19" i="3"/>
  <c r="N18" i="3" s="1"/>
  <c r="N11" i="3"/>
  <c r="N25" i="3"/>
  <c r="M23" i="3"/>
  <c r="F9" i="10" s="1"/>
  <c r="F11" i="10" s="1"/>
  <c r="F14" i="10" s="1"/>
  <c r="F23" i="10" s="1"/>
  <c r="N50" i="3"/>
  <c r="G10" i="10" s="1"/>
  <c r="O51" i="3"/>
  <c r="O50" i="3" s="1"/>
  <c r="H10" i="10" s="1"/>
  <c r="M18" i="3"/>
  <c r="O7" i="3"/>
  <c r="O21" i="2"/>
  <c r="N23" i="3" l="1"/>
  <c r="G9" i="10" s="1"/>
  <c r="G11" i="10" s="1"/>
  <c r="G14" i="10" s="1"/>
  <c r="M21" i="3"/>
  <c r="M26" i="3" s="1"/>
  <c r="M28" i="3"/>
  <c r="M30" i="3" s="1"/>
  <c r="M33" i="3" s="1"/>
  <c r="M36" i="3" s="1"/>
  <c r="N12" i="3"/>
  <c r="N16" i="3" s="1"/>
  <c r="N21" i="3" s="1"/>
  <c r="N26" i="3" s="1"/>
  <c r="O20" i="3"/>
  <c r="O14" i="3"/>
  <c r="O24" i="3"/>
  <c r="O8" i="3"/>
  <c r="O9" i="3" s="1"/>
  <c r="O11" i="3"/>
  <c r="O25" i="3"/>
  <c r="O19" i="3"/>
  <c r="L28" i="3"/>
  <c r="L30" i="3" s="1"/>
  <c r="L33" i="3" s="1"/>
  <c r="L36" i="3" s="1"/>
  <c r="O12" i="3" l="1"/>
  <c r="O16" i="3" s="1"/>
  <c r="O18" i="3"/>
  <c r="O21" i="3" s="1"/>
  <c r="H27" i="10"/>
  <c r="H29" i="10" s="1"/>
  <c r="N28" i="3"/>
  <c r="N30" i="3" s="1"/>
  <c r="N33" i="3" s="1"/>
  <c r="N36" i="3" s="1"/>
  <c r="O23" i="3"/>
  <c r="H9" i="10" s="1"/>
  <c r="H11" i="10" s="1"/>
  <c r="H32" i="10" s="1"/>
  <c r="G23" i="10"/>
  <c r="H14" i="10" l="1"/>
  <c r="C26" i="10" s="1"/>
  <c r="C27" i="10"/>
  <c r="C28" i="10" s="1"/>
  <c r="O26" i="3"/>
  <c r="C31" i="10" l="1"/>
  <c r="O28" i="3"/>
  <c r="O30" i="3" s="1"/>
  <c r="O33" i="3" s="1"/>
  <c r="O36" i="3" s="1"/>
  <c r="H23" i="10"/>
</calcChain>
</file>

<file path=xl/sharedStrings.xml><?xml version="1.0" encoding="utf-8"?>
<sst xmlns="http://schemas.openxmlformats.org/spreadsheetml/2006/main" count="203" uniqueCount="184">
  <si>
    <t>By Location</t>
  </si>
  <si>
    <t>UK</t>
  </si>
  <si>
    <t>Europe</t>
  </si>
  <si>
    <t>US</t>
  </si>
  <si>
    <t>Saudi Arabia</t>
  </si>
  <si>
    <t>Other</t>
  </si>
  <si>
    <t>Canada</t>
  </si>
  <si>
    <t>Qatar</t>
  </si>
  <si>
    <t>Australia</t>
  </si>
  <si>
    <t>Asia &amp; Pacific</t>
  </si>
  <si>
    <t>Revenue from Regions</t>
  </si>
  <si>
    <t>Turnover: Joint Ventures</t>
  </si>
  <si>
    <t>% growth</t>
  </si>
  <si>
    <t>Total Revenue</t>
  </si>
  <si>
    <t>UK Revenue Driver</t>
  </si>
  <si>
    <t>UK GDP (in tn)</t>
  </si>
  <si>
    <t>UK Defense Expenditure (in mn)</t>
  </si>
  <si>
    <t>UK Defense Expenditure as % of GDP</t>
  </si>
  <si>
    <t>UK Revenue as % of UK Defense Exp.</t>
  </si>
  <si>
    <t>US Revenue Driver</t>
  </si>
  <si>
    <t>US GDP ($ tn)</t>
  </si>
  <si>
    <t>US Defense Expenditure ($)</t>
  </si>
  <si>
    <t>US Defense Exp. as % of US GDP</t>
  </si>
  <si>
    <t>US Defense Expenditure (£)</t>
  </si>
  <si>
    <t>US Revenue as % of US Defense Exp.</t>
  </si>
  <si>
    <t>Europe Revenue Driver</t>
  </si>
  <si>
    <t>Europe GDP ($ trillions)</t>
  </si>
  <si>
    <t>Europe GDP (€ trillions)</t>
  </si>
  <si>
    <t>Defense Spending as % of GDP</t>
  </si>
  <si>
    <t>$ Defense Spending</t>
  </si>
  <si>
    <t>Europe Defense Expenditure (€)</t>
  </si>
  <si>
    <t>€ Defense Spending as % of GDP</t>
  </si>
  <si>
    <t>Europe Revenue as % of Defense Exp.</t>
  </si>
  <si>
    <t>Saudi Arabia Revenue Driver</t>
  </si>
  <si>
    <t>Saudi Arabia GDP ($ bn)</t>
  </si>
  <si>
    <t>IMF forecast</t>
  </si>
  <si>
    <t xml:space="preserve">Saudi Arabia Defense Expenditure ($ bn) </t>
  </si>
  <si>
    <t>Saudi Arabia Revenue as % of Defense Spending</t>
  </si>
  <si>
    <t>EURUSD (avg.)</t>
  </si>
  <si>
    <t>GBPUSD (avg.)</t>
  </si>
  <si>
    <t>GBPEUR (avg.)</t>
  </si>
  <si>
    <t>Order Backlog</t>
  </si>
  <si>
    <t>Revenue from Operation</t>
  </si>
  <si>
    <t>COGS</t>
  </si>
  <si>
    <t>Gross Profit</t>
  </si>
  <si>
    <t>Operating Costs</t>
  </si>
  <si>
    <t>Operating Income</t>
  </si>
  <si>
    <t>add: Other Income</t>
  </si>
  <si>
    <t>EBITDA</t>
  </si>
  <si>
    <t>less: D&amp;A</t>
  </si>
  <si>
    <t>Depreciation</t>
  </si>
  <si>
    <t>Amortization</t>
  </si>
  <si>
    <t>EBIT</t>
  </si>
  <si>
    <t>Net Finance Cost</t>
  </si>
  <si>
    <t>Finance Income</t>
  </si>
  <si>
    <t>Finance Cost</t>
  </si>
  <si>
    <t>EBT</t>
  </si>
  <si>
    <t>less: Tax Expense</t>
  </si>
  <si>
    <t>Effective Tax Rate</t>
  </si>
  <si>
    <t>PAT</t>
  </si>
  <si>
    <t>less: Minority Interest</t>
  </si>
  <si>
    <t>Net Income to Common Shareholders</t>
  </si>
  <si>
    <t>Shares O/S</t>
  </si>
  <si>
    <t>EPS</t>
  </si>
  <si>
    <t>Drivers</t>
  </si>
  <si>
    <t>COGS as % of Revenue</t>
  </si>
  <si>
    <t>Operating Cost as % of Revenue</t>
  </si>
  <si>
    <t>Other Income as % of Revenue</t>
  </si>
  <si>
    <t>Depreciation as % of Revenue</t>
  </si>
  <si>
    <t>Amortization as % of Revenue</t>
  </si>
  <si>
    <t>Finance Income as % of Revenue</t>
  </si>
  <si>
    <t>Finance Cost as % of Revenue</t>
  </si>
  <si>
    <t>Shares O/S degrowth</t>
  </si>
  <si>
    <t>Capex</t>
  </si>
  <si>
    <t>Capex as % of Revenue</t>
  </si>
  <si>
    <t>Cash from Operating Activities</t>
  </si>
  <si>
    <t>CFO as % of Revenue</t>
  </si>
  <si>
    <t>Cost of Equity</t>
  </si>
  <si>
    <t>Weights</t>
  </si>
  <si>
    <t>Beta Calculation</t>
  </si>
  <si>
    <t>Risk-Free Rate</t>
  </si>
  <si>
    <t>Beta</t>
  </si>
  <si>
    <t>Capital Source</t>
  </si>
  <si>
    <t>in £ bn.</t>
  </si>
  <si>
    <t>% terms</t>
  </si>
  <si>
    <t>Company</t>
  </si>
  <si>
    <t>Levered Beta</t>
  </si>
  <si>
    <t>Tax Rate</t>
  </si>
  <si>
    <t>Debt/Equity</t>
  </si>
  <si>
    <t>Unlevered Beta</t>
  </si>
  <si>
    <t>Market Return</t>
  </si>
  <si>
    <t>SAAB AB</t>
  </si>
  <si>
    <t>Equity Risk Premium</t>
  </si>
  <si>
    <t>Debt</t>
  </si>
  <si>
    <t>Rheinmetall AG</t>
  </si>
  <si>
    <t>Total Capital</t>
  </si>
  <si>
    <t>Lockheed Martin</t>
  </si>
  <si>
    <t>Northrop Grumman Corp</t>
  </si>
  <si>
    <t>Cost of Debt</t>
  </si>
  <si>
    <t>WACC Calculation</t>
  </si>
  <si>
    <t>L3Harris Technologies Inc</t>
  </si>
  <si>
    <t>Source</t>
  </si>
  <si>
    <t>Weight</t>
  </si>
  <si>
    <t>Cost</t>
  </si>
  <si>
    <t>Average</t>
  </si>
  <si>
    <t>Weighted Average Kd</t>
  </si>
  <si>
    <t>Equity</t>
  </si>
  <si>
    <t>w/ Method 1 &amp; 2</t>
  </si>
  <si>
    <t>BAE Systems Beta</t>
  </si>
  <si>
    <t>WACC</t>
  </si>
  <si>
    <t>Method 1: Weighted Average Yield</t>
  </si>
  <si>
    <t>Method 1: Relative Beta</t>
  </si>
  <si>
    <t>Method 2: Credit Rating Method</t>
  </si>
  <si>
    <t>Security ID</t>
  </si>
  <si>
    <t>Yield</t>
  </si>
  <si>
    <t>Amount</t>
  </si>
  <si>
    <t>D/E Ratio</t>
  </si>
  <si>
    <t>ZD865113 Corp</t>
  </si>
  <si>
    <t>Peer's Avg. Unlevered Beta</t>
  </si>
  <si>
    <t>ZD865131 Corp</t>
  </si>
  <si>
    <t>Interest Coverage Ratio</t>
  </si>
  <si>
    <t>ZD865117 Corp</t>
  </si>
  <si>
    <t>BAE Systmes Levered Beta</t>
  </si>
  <si>
    <t>ZD865135 Corp</t>
  </si>
  <si>
    <t>BH632720 Corp</t>
  </si>
  <si>
    <t>Method 2: Regression Beta</t>
  </si>
  <si>
    <t>BH632721 Corp</t>
  </si>
  <si>
    <t>ZO394550 Corp</t>
  </si>
  <si>
    <t>ZO394548 Corp</t>
  </si>
  <si>
    <t>Average Beta</t>
  </si>
  <si>
    <t>ZD865119 Corp</t>
  </si>
  <si>
    <t>ZD865138 Corp</t>
  </si>
  <si>
    <t>ZD865122 Corp</t>
  </si>
  <si>
    <t>ZD865142 Corp</t>
  </si>
  <si>
    <t>EI835105 Corp</t>
  </si>
  <si>
    <t>EI835901 Corp</t>
  </si>
  <si>
    <t>ZO394553 Corp</t>
  </si>
  <si>
    <t>ZO394551 Corp</t>
  </si>
  <si>
    <t>ZD865127 Corp</t>
  </si>
  <si>
    <t>ZD865145 Corp</t>
  </si>
  <si>
    <t>Weighted Average Yield</t>
  </si>
  <si>
    <t>CFO</t>
  </si>
  <si>
    <t>add: Interest (1-t)</t>
  </si>
  <si>
    <t>less: Capex</t>
  </si>
  <si>
    <t>FCFF</t>
  </si>
  <si>
    <t>FCFF/Share</t>
  </si>
  <si>
    <t>Today's Date</t>
  </si>
  <si>
    <t>Next CF Ending Date</t>
  </si>
  <si>
    <t>Effective Date</t>
  </si>
  <si>
    <t>Period</t>
  </si>
  <si>
    <t>Discounting Factor</t>
  </si>
  <si>
    <t>PV of FCFF/Share</t>
  </si>
  <si>
    <t>Sum of PV of FCFF/Share</t>
  </si>
  <si>
    <t>Terminal Value Calculation</t>
  </si>
  <si>
    <t>Average Terminal Value</t>
  </si>
  <si>
    <t>EV/Share</t>
  </si>
  <si>
    <t>Method 1: Multiples Method</t>
  </si>
  <si>
    <t>less: Debt/share</t>
  </si>
  <si>
    <t>add: Cash/share</t>
  </si>
  <si>
    <t xml:space="preserve">Exit EBITDA </t>
  </si>
  <si>
    <t>Equity Value</t>
  </si>
  <si>
    <t>Exit EV/EBITDA Multiple</t>
  </si>
  <si>
    <t>Exit EV</t>
  </si>
  <si>
    <t>Method 2: GGM Method</t>
  </si>
  <si>
    <t>FCFF at Terminal Year</t>
  </si>
  <si>
    <t>Perpetual Growth Rate</t>
  </si>
  <si>
    <t>TV using GGM</t>
  </si>
  <si>
    <t>Table of Contents</t>
  </si>
  <si>
    <t>Particulars</t>
  </si>
  <si>
    <t>Exihibit No.</t>
  </si>
  <si>
    <t>Weighted Average Cost of Capital</t>
  </si>
  <si>
    <t>Revenue Driver</t>
  </si>
  <si>
    <t>Fiscal Year ending December</t>
  </si>
  <si>
    <t>Income Statement</t>
  </si>
  <si>
    <t>Discounted Cash Flow</t>
  </si>
  <si>
    <t>Market Cap.</t>
  </si>
  <si>
    <t>Driver</t>
  </si>
  <si>
    <t>FYE</t>
  </si>
  <si>
    <t>Equity Value Calculation</t>
  </si>
  <si>
    <t>Notes:</t>
  </si>
  <si>
    <t>Spread Associated with ICR [1]</t>
  </si>
  <si>
    <t>5yr Regression Adj. Beta [2]</t>
  </si>
  <si>
    <t>[1] ICR: Interest Coverage Ratio</t>
  </si>
  <si>
    <t>[2] Regression Beta From Bloomberg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</si>
</sst>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;\(#,##0\)"/>
    <numFmt numFmtId="165" formatCode="_-* #,##0_-;\-* #,##0_-;_-* &quot;-&quot;??_-;_-@_-"/>
    <numFmt numFmtId="166" formatCode="#,##0.00;\(#,##0.00\)"/>
    <numFmt numFmtId="168" formatCode="0.0%"/>
    <numFmt numFmtId="169" formatCode="#,##0.0000;\(#,##0.0000\)"/>
    <numFmt numFmtId="170" formatCode="0&quot;E&quot;"/>
    <numFmt numFmtId="171" formatCode="#\x"/>
    <numFmt numFmtId="177" formatCode="0&quot;A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color rgb="FF339933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indexed="9"/>
      <name val="Arial"/>
      <family val="2"/>
    </font>
    <font>
      <sz val="12"/>
      <color theme="1"/>
      <name val="Arial"/>
      <family val="2"/>
    </font>
    <font>
      <sz val="24"/>
      <color theme="1"/>
      <name val="Arial"/>
      <family val="2"/>
    </font>
    <font>
      <b/>
      <i/>
      <sz val="12"/>
      <color theme="1"/>
      <name val="Arial"/>
      <family val="2"/>
    </font>
    <font>
      <sz val="14"/>
      <color theme="4"/>
      <name val="Arial"/>
      <family val="2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  <font>
      <b/>
      <sz val="11"/>
      <color indexed="9"/>
      <name val="Arial"/>
      <family val="2"/>
    </font>
    <font>
      <b/>
      <i/>
      <sz val="11"/>
      <color theme="1"/>
      <name val="Arial"/>
      <family val="2"/>
    </font>
    <font>
      <b/>
      <i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" fontId="2" fillId="2" borderId="1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164" fontId="4" fillId="0" borderId="0" xfId="1" applyNumberFormat="1" applyFont="1"/>
    <xf numFmtId="164" fontId="5" fillId="0" borderId="0" xfId="1" applyNumberFormat="1" applyFont="1"/>
    <xf numFmtId="0" fontId="6" fillId="0" borderId="0" xfId="0" applyFont="1"/>
    <xf numFmtId="164" fontId="6" fillId="0" borderId="0" xfId="1" applyNumberFormat="1" applyFont="1"/>
    <xf numFmtId="164" fontId="3" fillId="0" borderId="0" xfId="1" applyNumberFormat="1" applyFont="1"/>
    <xf numFmtId="0" fontId="3" fillId="0" borderId="0" xfId="0" applyFont="1" applyAlignment="1">
      <alignment horizontal="left" indent="1"/>
    </xf>
    <xf numFmtId="0" fontId="7" fillId="0" borderId="0" xfId="0" applyFont="1"/>
    <xf numFmtId="9" fontId="3" fillId="0" borderId="0" xfId="3" applyFont="1"/>
    <xf numFmtId="43" fontId="3" fillId="0" borderId="0" xfId="1" applyFont="1"/>
    <xf numFmtId="165" fontId="3" fillId="0" borderId="0" xfId="1" applyNumberFormat="1" applyFont="1"/>
    <xf numFmtId="0" fontId="6" fillId="0" borderId="0" xfId="0" applyFont="1" applyAlignment="1">
      <alignment horizontal="left" indent="1"/>
    </xf>
    <xf numFmtId="164" fontId="8" fillId="0" borderId="0" xfId="1" applyNumberFormat="1" applyFont="1"/>
    <xf numFmtId="164" fontId="3" fillId="0" borderId="0" xfId="0" applyNumberFormat="1" applyFont="1"/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/>
    </xf>
    <xf numFmtId="166" fontId="3" fillId="0" borderId="0" xfId="1" applyNumberFormat="1" applyFont="1"/>
    <xf numFmtId="0" fontId="9" fillId="0" borderId="0" xfId="0" applyFont="1"/>
    <xf numFmtId="168" fontId="3" fillId="0" borderId="0" xfId="3" applyNumberFormat="1" applyFont="1"/>
    <xf numFmtId="168" fontId="3" fillId="0" borderId="0" xfId="0" applyNumberFormat="1" applyFont="1"/>
    <xf numFmtId="10" fontId="3" fillId="0" borderId="0" xfId="3" applyNumberFormat="1" applyFont="1"/>
    <xf numFmtId="169" fontId="3" fillId="0" borderId="0" xfId="1" applyNumberFormat="1" applyFont="1"/>
    <xf numFmtId="0" fontId="7" fillId="0" borderId="0" xfId="0" applyFont="1" applyAlignment="1">
      <alignment horizontal="left" indent="1"/>
    </xf>
    <xf numFmtId="168" fontId="3" fillId="0" borderId="0" xfId="1" applyNumberFormat="1" applyFont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3" fontId="5" fillId="0" borderId="0" xfId="1" applyFont="1"/>
    <xf numFmtId="10" fontId="5" fillId="0" borderId="0" xfId="1" applyNumberFormat="1" applyFont="1"/>
    <xf numFmtId="168" fontId="5" fillId="0" borderId="0" xfId="3" applyNumberFormat="1" applyFont="1"/>
    <xf numFmtId="169" fontId="5" fillId="0" borderId="0" xfId="1" applyNumberFormat="1" applyFont="1"/>
    <xf numFmtId="0" fontId="6" fillId="0" borderId="2" xfId="0" applyFont="1" applyBorder="1" applyAlignment="1">
      <alignment horizontal="left" indent="2"/>
    </xf>
    <xf numFmtId="0" fontId="3" fillId="0" borderId="2" xfId="0" applyFont="1" applyBorder="1"/>
    <xf numFmtId="164" fontId="6" fillId="0" borderId="2" xfId="1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64" fontId="6" fillId="0" borderId="3" xfId="1" applyNumberFormat="1" applyFont="1" applyBorder="1"/>
    <xf numFmtId="1" fontId="3" fillId="0" borderId="0" xfId="0" applyNumberFormat="1" applyFont="1"/>
    <xf numFmtId="168" fontId="7" fillId="0" borderId="0" xfId="3" applyNumberFormat="1" applyFont="1"/>
    <xf numFmtId="43" fontId="3" fillId="0" borderId="0" xfId="0" applyNumberFormat="1" applyFont="1"/>
    <xf numFmtId="164" fontId="10" fillId="0" borderId="0" xfId="1" applyNumberFormat="1" applyFont="1"/>
    <xf numFmtId="165" fontId="5" fillId="0" borderId="0" xfId="1" applyNumberFormat="1" applyFont="1"/>
    <xf numFmtId="10" fontId="3" fillId="0" borderId="0" xfId="0" applyNumberFormat="1" applyFont="1"/>
    <xf numFmtId="164" fontId="6" fillId="0" borderId="0" xfId="0" applyNumberFormat="1" applyFont="1"/>
    <xf numFmtId="164" fontId="9" fillId="0" borderId="0" xfId="0" applyNumberFormat="1" applyFont="1"/>
    <xf numFmtId="171" fontId="3" fillId="0" borderId="0" xfId="0" applyNumberFormat="1" applyFont="1"/>
    <xf numFmtId="14" fontId="3" fillId="0" borderId="0" xfId="0" applyNumberFormat="1" applyFont="1"/>
    <xf numFmtId="0" fontId="6" fillId="3" borderId="0" xfId="0" applyFont="1" applyFill="1"/>
    <xf numFmtId="164" fontId="6" fillId="3" borderId="0" xfId="0" applyNumberFormat="1" applyFont="1" applyFill="1"/>
    <xf numFmtId="0" fontId="13" fillId="4" borderId="0" xfId="0" applyFont="1" applyFill="1"/>
    <xf numFmtId="0" fontId="12" fillId="0" borderId="4" xfId="0" applyFont="1" applyBorder="1"/>
    <xf numFmtId="0" fontId="14" fillId="0" borderId="0" xfId="0" applyFont="1"/>
    <xf numFmtId="0" fontId="15" fillId="0" borderId="4" xfId="0" applyFont="1" applyBorder="1"/>
    <xf numFmtId="0" fontId="14" fillId="0" borderId="4" xfId="0" applyFont="1" applyBorder="1"/>
    <xf numFmtId="0" fontId="16" fillId="0" borderId="5" xfId="0" applyFont="1" applyBorder="1" applyAlignment="1">
      <alignment horizontal="center"/>
    </xf>
    <xf numFmtId="0" fontId="14" fillId="0" borderId="5" xfId="0" applyFont="1" applyBorder="1"/>
    <xf numFmtId="0" fontId="17" fillId="0" borderId="0" xfId="4" applyFont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/>
    <xf numFmtId="10" fontId="6" fillId="0" borderId="3" xfId="3" applyNumberFormat="1" applyFont="1" applyBorder="1"/>
    <xf numFmtId="43" fontId="6" fillId="0" borderId="0" xfId="1" applyFont="1"/>
    <xf numFmtId="168" fontId="6" fillId="0" borderId="0" xfId="3" applyNumberFormat="1" applyFont="1"/>
    <xf numFmtId="43" fontId="6" fillId="0" borderId="0" xfId="0" applyNumberFormat="1" applyFont="1"/>
    <xf numFmtId="9" fontId="3" fillId="0" borderId="0" xfId="0" applyNumberFormat="1" applyFont="1"/>
    <xf numFmtId="0" fontId="19" fillId="5" borderId="0" xfId="0" applyFont="1" applyFill="1"/>
    <xf numFmtId="177" fontId="19" fillId="5" borderId="0" xfId="0" applyNumberFormat="1" applyFont="1" applyFill="1"/>
    <xf numFmtId="170" fontId="19" fillId="5" borderId="0" xfId="0" applyNumberFormat="1" applyFont="1" applyFill="1"/>
    <xf numFmtId="0" fontId="20" fillId="4" borderId="0" xfId="0" applyFont="1" applyFill="1"/>
    <xf numFmtId="10" fontId="5" fillId="0" borderId="0" xfId="0" applyNumberFormat="1" applyFont="1"/>
    <xf numFmtId="43" fontId="4" fillId="0" borderId="0" xfId="0" applyNumberFormat="1" applyFont="1"/>
    <xf numFmtId="10" fontId="4" fillId="0" borderId="0" xfId="0" applyNumberFormat="1" applyFont="1"/>
    <xf numFmtId="10" fontId="6" fillId="0" borderId="3" xfId="0" applyNumberFormat="1" applyFont="1" applyBorder="1"/>
    <xf numFmtId="0" fontId="3" fillId="6" borderId="0" xfId="0" applyFont="1" applyFill="1"/>
    <xf numFmtId="0" fontId="18" fillId="6" borderId="0" xfId="0" applyFont="1" applyFill="1"/>
    <xf numFmtId="10" fontId="3" fillId="0" borderId="0" xfId="3" applyNumberFormat="1" applyFont="1" applyAlignment="1">
      <alignment horizontal="center"/>
    </xf>
    <xf numFmtId="2" fontId="6" fillId="0" borderId="3" xfId="0" applyNumberFormat="1" applyFont="1" applyBorder="1" applyAlignment="1">
      <alignment horizontal="center"/>
    </xf>
    <xf numFmtId="2" fontId="5" fillId="0" borderId="0" xfId="1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6" fillId="7" borderId="0" xfId="0" applyFont="1" applyFill="1"/>
    <xf numFmtId="43" fontId="5" fillId="0" borderId="0" xfId="3" applyNumberFormat="1" applyFont="1"/>
    <xf numFmtId="43" fontId="6" fillId="0" borderId="3" xfId="3" applyNumberFormat="1" applyFont="1" applyBorder="1"/>
    <xf numFmtId="0" fontId="21" fillId="0" borderId="0" xfId="0" applyFont="1"/>
    <xf numFmtId="164" fontId="21" fillId="0" borderId="0" xfId="0" applyNumberFormat="1" applyFont="1"/>
    <xf numFmtId="177" fontId="22" fillId="8" borderId="0" xfId="0" applyNumberFormat="1" applyFont="1" applyFill="1"/>
    <xf numFmtId="170" fontId="22" fillId="8" borderId="0" xfId="0" applyNumberFormat="1" applyFont="1" applyFill="1"/>
    <xf numFmtId="164" fontId="4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</cellXfs>
  <cellStyles count="5">
    <cellStyle name="Comma" xfId="1" builtinId="3"/>
    <cellStyle name="fa_data_standard" xfId="2" xr:uid="{D4D480D3-9654-411B-A4D9-8B88126F33C8}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339933"/>
      <color rgb="FF0000FF"/>
      <color rgb="FF336699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10</xdr:row>
      <xdr:rowOff>133350</xdr:rowOff>
    </xdr:from>
    <xdr:to>
      <xdr:col>25</xdr:col>
      <xdr:colOff>331426</xdr:colOff>
      <xdr:row>21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18E3F-0838-4BFD-BD41-854403C6A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2038350"/>
          <a:ext cx="12771076" cy="1971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EC26-F382-4DD9-A422-49FCC4E0B149}">
  <dimension ref="A1"/>
  <sheetViews>
    <sheetView showGridLines="0" workbookViewId="0">
      <selection activeCell="C19" sqref="C19"/>
    </sheetView>
  </sheetViews>
  <sheetFormatPr defaultRowHeight="14.25" x14ac:dyDescent="0.2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2930-C05D-45F6-9ECA-685F07AD5B44}">
  <dimension ref="A2:H13"/>
  <sheetViews>
    <sheetView showGridLines="0" workbookViewId="0">
      <selection activeCell="B11" sqref="B11"/>
    </sheetView>
  </sheetViews>
  <sheetFormatPr defaultRowHeight="14.25" x14ac:dyDescent="0.2"/>
  <cols>
    <col min="1" max="1" width="4.7109375" style="1" customWidth="1"/>
    <col min="2" max="2" width="46.5703125" style="1" customWidth="1"/>
    <col min="3" max="3" width="7.7109375" style="1" customWidth="1"/>
    <col min="4" max="6" width="16.85546875" style="1" customWidth="1"/>
    <col min="7" max="16384" width="9.140625" style="1"/>
  </cols>
  <sheetData>
    <row r="2" spans="1:8" ht="15" x14ac:dyDescent="0.2">
      <c r="A2" s="51"/>
      <c r="B2" s="49"/>
      <c r="C2" s="49"/>
      <c r="D2" s="49"/>
      <c r="E2" s="49"/>
      <c r="F2" s="49"/>
      <c r="G2" s="49"/>
      <c r="H2" s="49"/>
    </row>
    <row r="3" spans="1:8" ht="30.75" thickBot="1" x14ac:dyDescent="0.45">
      <c r="A3" s="51"/>
      <c r="B3" s="52" t="s">
        <v>167</v>
      </c>
      <c r="C3" s="53"/>
      <c r="D3" s="53"/>
      <c r="E3" s="53"/>
      <c r="F3" s="53"/>
      <c r="G3" s="53"/>
      <c r="H3" s="53"/>
    </row>
    <row r="4" spans="1:8" ht="15" x14ac:dyDescent="0.2">
      <c r="A4" s="51"/>
      <c r="B4" s="51"/>
      <c r="C4" s="51"/>
      <c r="D4" s="51"/>
      <c r="E4" s="51"/>
      <c r="F4" s="51"/>
      <c r="G4" s="51"/>
      <c r="H4" s="51"/>
    </row>
    <row r="5" spans="1:8" ht="15" x14ac:dyDescent="0.2">
      <c r="A5" s="51"/>
      <c r="B5" s="54" t="s">
        <v>168</v>
      </c>
      <c r="C5" s="54"/>
      <c r="D5" s="54" t="s">
        <v>169</v>
      </c>
      <c r="E5" s="55"/>
    </row>
    <row r="6" spans="1:8" ht="15" x14ac:dyDescent="0.2">
      <c r="A6" s="51"/>
      <c r="B6" s="51"/>
      <c r="C6" s="51"/>
      <c r="D6" s="51"/>
      <c r="E6" s="51"/>
    </row>
    <row r="7" spans="1:8" ht="18" x14ac:dyDescent="0.25">
      <c r="A7" s="51"/>
      <c r="B7" s="56" t="s">
        <v>171</v>
      </c>
      <c r="C7" s="51"/>
      <c r="D7" s="57">
        <v>1</v>
      </c>
      <c r="E7" s="51"/>
    </row>
    <row r="8" spans="1:8" ht="18" x14ac:dyDescent="0.25">
      <c r="A8" s="51"/>
      <c r="B8" s="56" t="s">
        <v>173</v>
      </c>
      <c r="C8" s="51"/>
      <c r="D8" s="57">
        <f>D7+1</f>
        <v>2</v>
      </c>
      <c r="E8" s="51"/>
    </row>
    <row r="9" spans="1:8" ht="18" x14ac:dyDescent="0.25">
      <c r="A9" s="51"/>
      <c r="B9" s="56" t="s">
        <v>170</v>
      </c>
      <c r="C9" s="51"/>
      <c r="D9" s="57">
        <f t="shared" ref="D9:D13" si="0">D8+1</f>
        <v>3</v>
      </c>
      <c r="E9" s="51"/>
    </row>
    <row r="10" spans="1:8" ht="18" x14ac:dyDescent="0.25">
      <c r="A10" s="51"/>
      <c r="B10" s="56" t="s">
        <v>174</v>
      </c>
      <c r="C10" s="51"/>
      <c r="D10" s="57">
        <f t="shared" si="0"/>
        <v>4</v>
      </c>
      <c r="E10" s="51"/>
    </row>
    <row r="11" spans="1:8" ht="18" x14ac:dyDescent="0.25">
      <c r="A11" s="51"/>
      <c r="B11" s="56"/>
      <c r="C11" s="51"/>
      <c r="D11" s="57"/>
      <c r="E11" s="51"/>
    </row>
    <row r="12" spans="1:8" ht="18" x14ac:dyDescent="0.25">
      <c r="A12" s="51"/>
      <c r="B12" s="56"/>
      <c r="C12" s="51"/>
      <c r="D12" s="57"/>
      <c r="E12" s="51"/>
    </row>
    <row r="13" spans="1:8" ht="18" x14ac:dyDescent="0.25">
      <c r="A13" s="51"/>
      <c r="B13" s="56"/>
      <c r="C13" s="51"/>
      <c r="D13" s="57"/>
      <c r="E13" s="51"/>
    </row>
  </sheetData>
  <hyperlinks>
    <hyperlink ref="B7" location="'Inputs&amp;Assumptions'!A1" display="'Inputs&amp;Assumptions'!A1" xr:uid="{12D25E16-A8EB-413E-A067-B30B029EC45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397E-8903-4967-814D-0F6842A83A8C}">
  <dimension ref="A2:W85"/>
  <sheetViews>
    <sheetView showGridLines="0" zoomScaleNormal="100" workbookViewId="0">
      <pane ySplit="5" topLeftCell="A6" activePane="bottomLeft" state="frozen"/>
      <selection activeCell="B28" sqref="A1:XFD1048576"/>
      <selection pane="bottomLeft" activeCell="B2" sqref="B2"/>
    </sheetView>
  </sheetViews>
  <sheetFormatPr defaultColWidth="9.140625" defaultRowHeight="14.25" outlineLevelRow="1" x14ac:dyDescent="0.2"/>
  <cols>
    <col min="1" max="1" width="4.5703125" style="1" customWidth="1"/>
    <col min="2" max="2" width="40.7109375" style="1" customWidth="1"/>
    <col min="3" max="3" width="4.7109375" style="1" customWidth="1"/>
    <col min="4" max="15" width="10.7109375" style="1" customWidth="1"/>
    <col min="16" max="16384" width="9.140625" style="1"/>
  </cols>
  <sheetData>
    <row r="2" spans="2:19" x14ac:dyDescent="0.2">
      <c r="B2" s="49" t="str">
        <f>"Exihibit "&amp;VLOOKUP(Drivers!B3,TOC!$B$7:$D$10,3,FALSE)</f>
        <v>Exihibit 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9" ht="30.75" thickBot="1" x14ac:dyDescent="0.45">
      <c r="B3" s="52" t="s">
        <v>171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5" spans="2:19" ht="15" x14ac:dyDescent="0.25">
      <c r="B5" s="65" t="s">
        <v>172</v>
      </c>
      <c r="C5" s="65"/>
      <c r="D5" s="66">
        <v>2019</v>
      </c>
      <c r="E5" s="66">
        <f>D5+1</f>
        <v>2020</v>
      </c>
      <c r="F5" s="66">
        <f t="shared" ref="F5:J5" si="0">E5+1</f>
        <v>2021</v>
      </c>
      <c r="G5" s="66">
        <f t="shared" si="0"/>
        <v>2022</v>
      </c>
      <c r="H5" s="66">
        <f t="shared" si="0"/>
        <v>2023</v>
      </c>
      <c r="I5" s="66">
        <f t="shared" si="0"/>
        <v>2024</v>
      </c>
      <c r="J5" s="66">
        <f t="shared" si="0"/>
        <v>2025</v>
      </c>
      <c r="K5" s="67">
        <f t="shared" ref="K5" si="1">J5+1</f>
        <v>2026</v>
      </c>
      <c r="L5" s="67">
        <f t="shared" ref="L5" si="2">K5+1</f>
        <v>2027</v>
      </c>
      <c r="M5" s="67">
        <f t="shared" ref="M5" si="3">L5+1</f>
        <v>2028</v>
      </c>
      <c r="N5" s="67">
        <f t="shared" ref="N5" si="4">M5+1</f>
        <v>2029</v>
      </c>
      <c r="O5" s="67">
        <f t="shared" ref="O5" si="5">N5+1</f>
        <v>2030</v>
      </c>
      <c r="P5" s="4"/>
      <c r="Q5" s="4"/>
      <c r="R5" s="4"/>
      <c r="S5" s="4"/>
    </row>
    <row r="7" spans="2:19" ht="15" x14ac:dyDescent="0.25">
      <c r="B7" s="4" t="s">
        <v>0</v>
      </c>
      <c r="D7" s="6"/>
      <c r="E7" s="6"/>
      <c r="F7" s="6"/>
      <c r="G7" s="6"/>
      <c r="H7" s="6"/>
      <c r="I7" s="6"/>
    </row>
    <row r="8" spans="2:19" x14ac:dyDescent="0.2">
      <c r="B8" s="7" t="s">
        <v>1</v>
      </c>
      <c r="D8" s="3">
        <v>3681</v>
      </c>
      <c r="E8" s="3">
        <v>3751</v>
      </c>
      <c r="F8" s="3">
        <v>3935</v>
      </c>
      <c r="G8" s="3">
        <v>4324</v>
      </c>
      <c r="H8" s="3">
        <v>6102</v>
      </c>
      <c r="I8" s="3">
        <v>7039</v>
      </c>
      <c r="J8" s="3">
        <v>7876</v>
      </c>
      <c r="K8" s="6">
        <f>K26*K28</f>
        <v>7104.33760292436</v>
      </c>
      <c r="L8" s="6">
        <f>L26*L28</f>
        <v>8032.4518252968555</v>
      </c>
      <c r="M8" s="6">
        <f>M26*M28</f>
        <v>9056.1019237220517</v>
      </c>
      <c r="N8" s="6">
        <f>N26*N28</f>
        <v>10155.290082626605</v>
      </c>
      <c r="O8" s="6">
        <f>O26*O28</f>
        <v>11009.870616258435</v>
      </c>
    </row>
    <row r="9" spans="2:19" x14ac:dyDescent="0.2">
      <c r="B9" s="7" t="s">
        <v>2</v>
      </c>
      <c r="D9" s="3">
        <v>1156</v>
      </c>
      <c r="E9" s="3">
        <v>1235</v>
      </c>
      <c r="F9" s="3">
        <v>1502</v>
      </c>
      <c r="G9" s="3">
        <v>1824</v>
      </c>
      <c r="H9" s="3">
        <v>1533</v>
      </c>
      <c r="I9" s="3">
        <v>1733</v>
      </c>
      <c r="J9" s="3">
        <v>2221</v>
      </c>
      <c r="K9" s="6">
        <f t="shared" ref="K9:O9" si="6">K45*K47</f>
        <v>2662.9152750120993</v>
      </c>
      <c r="L9" s="6">
        <f t="shared" si="6"/>
        <v>2946.8942950806195</v>
      </c>
      <c r="M9" s="6">
        <f t="shared" si="6"/>
        <v>3175.1643845652766</v>
      </c>
      <c r="N9" s="6">
        <f t="shared" si="6"/>
        <v>3336.1200377402711</v>
      </c>
      <c r="O9" s="6">
        <f t="shared" si="6"/>
        <v>4034.5935849277348</v>
      </c>
    </row>
    <row r="10" spans="2:19" x14ac:dyDescent="0.2">
      <c r="B10" s="7" t="s">
        <v>3</v>
      </c>
      <c r="D10" s="3">
        <v>8635</v>
      </c>
      <c r="E10" s="3">
        <v>9309</v>
      </c>
      <c r="F10" s="3">
        <v>9108</v>
      </c>
      <c r="G10" s="3">
        <v>10157</v>
      </c>
      <c r="H10" s="3">
        <v>10700</v>
      </c>
      <c r="I10" s="3">
        <v>12559</v>
      </c>
      <c r="J10" s="3">
        <v>13145</v>
      </c>
      <c r="K10" s="6">
        <f t="shared" ref="K10:O10" si="7">K36*K35</f>
        <v>15462.582042440206</v>
      </c>
      <c r="L10" s="6">
        <f t="shared" si="7"/>
        <v>15671.470750038643</v>
      </c>
      <c r="M10" s="6">
        <f t="shared" si="7"/>
        <v>15723.622009461551</v>
      </c>
      <c r="N10" s="6">
        <f t="shared" si="7"/>
        <v>15913.80764817694</v>
      </c>
      <c r="O10" s="6">
        <f t="shared" si="7"/>
        <v>16121.175028774955</v>
      </c>
    </row>
    <row r="11" spans="2:19" x14ac:dyDescent="0.2">
      <c r="B11" s="7" t="s">
        <v>4</v>
      </c>
      <c r="D11" s="3">
        <v>2593</v>
      </c>
      <c r="E11" s="3">
        <v>2631</v>
      </c>
      <c r="F11" s="3">
        <v>2476</v>
      </c>
      <c r="G11" s="3">
        <v>2540</v>
      </c>
      <c r="H11" s="3">
        <v>2687</v>
      </c>
      <c r="I11" s="3">
        <v>2892</v>
      </c>
      <c r="J11" s="3">
        <v>2838</v>
      </c>
      <c r="K11" s="6">
        <f>K51*K53*1000</f>
        <v>3314.9276580482147</v>
      </c>
      <c r="L11" s="6">
        <f>L51*L53*1000</f>
        <v>3388.7450751662673</v>
      </c>
      <c r="M11" s="6">
        <f>M51*M53*1000</f>
        <v>3374.4958883203053</v>
      </c>
      <c r="N11" s="6">
        <f>N51*N53*1000</f>
        <v>3496.2584403754727</v>
      </c>
      <c r="O11" s="6">
        <f>O51*O53*1000</f>
        <v>3738.8449480859349</v>
      </c>
    </row>
    <row r="12" spans="2:19" x14ac:dyDescent="0.2">
      <c r="B12" s="7" t="s">
        <v>5</v>
      </c>
      <c r="D12" s="6">
        <f t="shared" ref="D12:H12" si="8">D13+D14+D15+D16+D17</f>
        <v>2240</v>
      </c>
      <c r="E12" s="6">
        <f t="shared" si="8"/>
        <v>2351</v>
      </c>
      <c r="F12" s="6">
        <f t="shared" si="8"/>
        <v>2500</v>
      </c>
      <c r="G12" s="6">
        <f t="shared" si="8"/>
        <v>2413</v>
      </c>
      <c r="H12" s="6">
        <f t="shared" si="8"/>
        <v>2056</v>
      </c>
      <c r="I12" s="6">
        <f>I13+I14+I15+I16+I17</f>
        <v>2089</v>
      </c>
      <c r="J12" s="6">
        <f>J13+J14+J15+J16+J17</f>
        <v>2256</v>
      </c>
      <c r="K12" s="14">
        <f>AVERAGE(D12:J12)</f>
        <v>2272.1428571428573</v>
      </c>
      <c r="L12" s="14">
        <f t="shared" ref="L12:O12" si="9">AVERAGE(E12:K12)</f>
        <v>2276.7346938775509</v>
      </c>
      <c r="M12" s="14">
        <f t="shared" si="9"/>
        <v>2266.1253644314866</v>
      </c>
      <c r="N12" s="14">
        <f t="shared" si="9"/>
        <v>2232.7147022074132</v>
      </c>
      <c r="O12" s="14">
        <f t="shared" si="9"/>
        <v>2206.9596596656152</v>
      </c>
    </row>
    <row r="13" spans="2:19" hidden="1" outlineLevel="1" x14ac:dyDescent="0.2">
      <c r="B13" s="7" t="s">
        <v>6</v>
      </c>
      <c r="D13" s="3">
        <v>129</v>
      </c>
      <c r="E13" s="3">
        <v>114</v>
      </c>
      <c r="F13" s="3">
        <v>141</v>
      </c>
      <c r="G13" s="3">
        <v>125</v>
      </c>
      <c r="H13" s="3">
        <v>177</v>
      </c>
      <c r="I13" s="3">
        <v>189</v>
      </c>
      <c r="J13" s="3">
        <v>227</v>
      </c>
    </row>
    <row r="14" spans="2:19" hidden="1" outlineLevel="1" x14ac:dyDescent="0.2">
      <c r="B14" s="7" t="s">
        <v>7</v>
      </c>
      <c r="D14" s="3">
        <v>0</v>
      </c>
      <c r="E14" s="3">
        <v>913</v>
      </c>
      <c r="F14" s="3">
        <v>1014</v>
      </c>
      <c r="G14" s="3">
        <v>885</v>
      </c>
      <c r="H14" s="3">
        <v>450</v>
      </c>
      <c r="I14" s="3">
        <v>259</v>
      </c>
      <c r="J14" s="3">
        <v>252</v>
      </c>
    </row>
    <row r="15" spans="2:19" hidden="1" outlineLevel="1" x14ac:dyDescent="0.2">
      <c r="B15" s="7" t="s">
        <v>8</v>
      </c>
      <c r="D15" s="3">
        <v>667</v>
      </c>
      <c r="E15" s="3">
        <v>664</v>
      </c>
      <c r="F15" s="3">
        <v>762</v>
      </c>
      <c r="G15" s="3">
        <v>853</v>
      </c>
      <c r="H15" s="3">
        <v>943</v>
      </c>
      <c r="I15" s="3">
        <v>1158</v>
      </c>
      <c r="J15" s="3">
        <v>1287</v>
      </c>
    </row>
    <row r="16" spans="2:19" hidden="1" outlineLevel="1" x14ac:dyDescent="0.2">
      <c r="B16" s="7" t="s">
        <v>9</v>
      </c>
      <c r="D16" s="3">
        <v>423</v>
      </c>
      <c r="E16" s="3">
        <v>332</v>
      </c>
      <c r="F16" s="3">
        <v>285</v>
      </c>
      <c r="G16" s="3">
        <v>283</v>
      </c>
      <c r="H16" s="3">
        <v>264</v>
      </c>
      <c r="I16" s="3">
        <v>354</v>
      </c>
      <c r="J16" s="3">
        <v>358</v>
      </c>
    </row>
    <row r="17" spans="1:23" hidden="1" outlineLevel="1" x14ac:dyDescent="0.2">
      <c r="B17" s="7" t="s">
        <v>5</v>
      </c>
      <c r="D17" s="3">
        <v>1021</v>
      </c>
      <c r="E17" s="3">
        <v>328</v>
      </c>
      <c r="F17" s="3">
        <v>298</v>
      </c>
      <c r="G17" s="3">
        <v>267</v>
      </c>
      <c r="H17" s="3">
        <v>222</v>
      </c>
      <c r="I17" s="3">
        <v>129</v>
      </c>
      <c r="J17" s="3">
        <v>132</v>
      </c>
    </row>
    <row r="18" spans="1:23" ht="15" collapsed="1" x14ac:dyDescent="0.25">
      <c r="B18" s="31" t="s">
        <v>10</v>
      </c>
      <c r="C18" s="32"/>
      <c r="D18" s="33">
        <f>SUM(D8:D12)</f>
        <v>18305</v>
      </c>
      <c r="E18" s="33">
        <f t="shared" ref="E18:J18" si="10">SUM(E8:E12)</f>
        <v>19277</v>
      </c>
      <c r="F18" s="33">
        <f t="shared" si="10"/>
        <v>19521</v>
      </c>
      <c r="G18" s="33">
        <f>SUM(G8:G12)</f>
        <v>21258</v>
      </c>
      <c r="H18" s="33">
        <f>SUM(H8:H12)</f>
        <v>23078</v>
      </c>
      <c r="I18" s="33">
        <f>SUM(I8:I12)</f>
        <v>26312</v>
      </c>
      <c r="J18" s="33">
        <f t="shared" si="10"/>
        <v>28336</v>
      </c>
      <c r="K18" s="33">
        <f t="shared" ref="K18:O18" si="11">SUM(K8:K17)</f>
        <v>30816.905435567736</v>
      </c>
      <c r="L18" s="33">
        <f t="shared" si="11"/>
        <v>32316.296639459935</v>
      </c>
      <c r="M18" s="33">
        <f t="shared" si="11"/>
        <v>33595.509570500668</v>
      </c>
      <c r="N18" s="33">
        <f t="shared" si="11"/>
        <v>35134.190911126701</v>
      </c>
      <c r="O18" s="33">
        <f t="shared" si="11"/>
        <v>37111.443837712672</v>
      </c>
    </row>
    <row r="19" spans="1:23" x14ac:dyDescent="0.2">
      <c r="B19" s="25" t="s">
        <v>11</v>
      </c>
      <c r="D19" s="3">
        <v>1804</v>
      </c>
      <c r="E19" s="3">
        <v>1585</v>
      </c>
      <c r="F19" s="3">
        <v>1789</v>
      </c>
      <c r="G19" s="3">
        <v>1998</v>
      </c>
      <c r="H19" s="3">
        <v>2206</v>
      </c>
      <c r="I19" s="3">
        <v>2023</v>
      </c>
      <c r="J19" s="3">
        <v>2326</v>
      </c>
      <c r="K19" s="11">
        <f>J19*(1+K20)</f>
        <v>2440.3852589841986</v>
      </c>
      <c r="L19" s="11">
        <f t="shared" ref="L19:O19" si="12">K19*(1+L20)</f>
        <v>2629.7732127374488</v>
      </c>
      <c r="M19" s="11">
        <f t="shared" si="12"/>
        <v>2811.461482028662</v>
      </c>
      <c r="N19" s="11">
        <f t="shared" si="12"/>
        <v>2983.3343722717868</v>
      </c>
      <c r="O19" s="11">
        <f t="shared" si="12"/>
        <v>3144.3481286815927</v>
      </c>
    </row>
    <row r="20" spans="1:23" x14ac:dyDescent="0.2">
      <c r="B20" s="23" t="s">
        <v>12</v>
      </c>
      <c r="D20" s="3"/>
      <c r="E20" s="20">
        <f>E19/D19-1</f>
        <v>-0.12139689578713964</v>
      </c>
      <c r="F20" s="20">
        <f t="shared" ref="F20:J20" si="13">F19/E19-1</f>
        <v>0.12870662460567828</v>
      </c>
      <c r="G20" s="20">
        <f t="shared" si="13"/>
        <v>0.11682504192286203</v>
      </c>
      <c r="H20" s="20">
        <f t="shared" si="13"/>
        <v>0.1041041041041042</v>
      </c>
      <c r="I20" s="20">
        <f t="shared" si="13"/>
        <v>-8.2955575702629236E-2</v>
      </c>
      <c r="J20" s="20">
        <f t="shared" si="13"/>
        <v>0.14977755808205639</v>
      </c>
      <c r="K20" s="20">
        <f>AVERAGE(E20:J20)</f>
        <v>4.9176809537488674E-2</v>
      </c>
      <c r="L20" s="20">
        <f t="shared" ref="L20:O20" si="14">AVERAGE(F20:K20)</f>
        <v>7.7605760424926715E-2</v>
      </c>
      <c r="M20" s="20">
        <f t="shared" si="14"/>
        <v>6.9088949728134799E-2</v>
      </c>
      <c r="N20" s="20">
        <f t="shared" si="14"/>
        <v>6.1132934362346923E-2</v>
      </c>
      <c r="O20" s="20">
        <f t="shared" si="14"/>
        <v>5.3971072738720705E-2</v>
      </c>
    </row>
    <row r="21" spans="1:23" ht="15.75" thickBot="1" x14ac:dyDescent="0.3">
      <c r="B21" s="34" t="s">
        <v>13</v>
      </c>
      <c r="C21" s="35"/>
      <c r="D21" s="36">
        <f>SUM(D18:D19)</f>
        <v>20109</v>
      </c>
      <c r="E21" s="36">
        <f t="shared" ref="E21:J21" si="15">SUM(E18:E19)</f>
        <v>20862</v>
      </c>
      <c r="F21" s="36">
        <f t="shared" si="15"/>
        <v>21310</v>
      </c>
      <c r="G21" s="36">
        <f t="shared" si="15"/>
        <v>23256</v>
      </c>
      <c r="H21" s="36">
        <f t="shared" si="15"/>
        <v>25284</v>
      </c>
      <c r="I21" s="36">
        <f t="shared" si="15"/>
        <v>28335</v>
      </c>
      <c r="J21" s="36">
        <f t="shared" si="15"/>
        <v>30662</v>
      </c>
      <c r="K21" s="36">
        <f>SUM(K18:K19)</f>
        <v>33257.290694551935</v>
      </c>
      <c r="L21" s="36">
        <f t="shared" ref="L21" si="16">SUM(L18:L19)</f>
        <v>34946.069852197383</v>
      </c>
      <c r="M21" s="36">
        <f t="shared" ref="M21" si="17">SUM(M18:M19)</f>
        <v>36406.971052529327</v>
      </c>
      <c r="N21" s="36">
        <f t="shared" ref="N21" si="18">SUM(N18:N19)</f>
        <v>38117.525283398485</v>
      </c>
      <c r="O21" s="36">
        <f>SUM(O18:O19)</f>
        <v>40255.791966394267</v>
      </c>
    </row>
    <row r="22" spans="1:23" ht="15" x14ac:dyDescent="0.25">
      <c r="B22" s="15"/>
      <c r="D22" s="6"/>
      <c r="E22" s="6"/>
      <c r="F22" s="6"/>
      <c r="G22" s="6"/>
      <c r="H22" s="6"/>
      <c r="I22" s="6"/>
    </row>
    <row r="23" spans="1:23" ht="15" x14ac:dyDescent="0.25">
      <c r="B23" s="26" t="s">
        <v>14</v>
      </c>
      <c r="D23" s="6"/>
      <c r="E23" s="6"/>
      <c r="F23" s="6"/>
      <c r="G23" s="6"/>
      <c r="H23" s="6"/>
      <c r="I23" s="6"/>
    </row>
    <row r="24" spans="1:23" x14ac:dyDescent="0.2">
      <c r="B24" s="25" t="s">
        <v>15</v>
      </c>
      <c r="D24" s="27">
        <v>2.85</v>
      </c>
      <c r="E24" s="27">
        <v>2.7</v>
      </c>
      <c r="F24" s="27">
        <v>3.14</v>
      </c>
      <c r="G24" s="27">
        <v>3.11</v>
      </c>
      <c r="H24" s="27">
        <v>3.37</v>
      </c>
      <c r="I24" s="27">
        <v>3.64</v>
      </c>
      <c r="J24" s="27">
        <v>3.67</v>
      </c>
      <c r="K24" s="39">
        <f>J24*(1+K25)</f>
        <v>3.7250499999999995</v>
      </c>
      <c r="L24" s="39">
        <f t="shared" ref="L24:O24" si="19">K24*(1+L25)</f>
        <v>3.7809257499999993</v>
      </c>
      <c r="M24" s="39">
        <f t="shared" si="19"/>
        <v>3.8376396362499987</v>
      </c>
      <c r="N24" s="39">
        <f t="shared" si="19"/>
        <v>3.8952042307937482</v>
      </c>
      <c r="O24" s="39">
        <f t="shared" si="19"/>
        <v>3.9536322942556539</v>
      </c>
    </row>
    <row r="25" spans="1:23" x14ac:dyDescent="0.2">
      <c r="B25" s="23" t="s">
        <v>12</v>
      </c>
      <c r="D25" s="27"/>
      <c r="E25" s="29"/>
      <c r="F25" s="29"/>
      <c r="G25" s="29"/>
      <c r="H25" s="29"/>
      <c r="I25" s="29"/>
      <c r="J25" s="29"/>
      <c r="K25" s="20">
        <v>1.4999999999999999E-2</v>
      </c>
      <c r="L25" s="20">
        <v>1.4999999999999999E-2</v>
      </c>
      <c r="M25" s="20">
        <v>1.4999999999999999E-2</v>
      </c>
      <c r="N25" s="20">
        <v>1.4999999999999999E-2</v>
      </c>
      <c r="O25" s="20">
        <v>1.4999999999999999E-2</v>
      </c>
    </row>
    <row r="26" spans="1:23" x14ac:dyDescent="0.2">
      <c r="B26" s="25" t="s">
        <v>16</v>
      </c>
      <c r="D26" s="3">
        <v>38100</v>
      </c>
      <c r="E26" s="3">
        <v>39800</v>
      </c>
      <c r="F26" s="3">
        <v>42400</v>
      </c>
      <c r="G26" s="3">
        <v>45900</v>
      </c>
      <c r="H26" s="3">
        <v>52800</v>
      </c>
      <c r="I26" s="3">
        <v>53900</v>
      </c>
      <c r="J26" s="3">
        <v>60200</v>
      </c>
      <c r="K26" s="40">
        <f>K24*K27*1000*1000</f>
        <v>67507.64999999998</v>
      </c>
      <c r="L26" s="40">
        <f>L24*L27*1000*1000</f>
        <v>75020.984499999991</v>
      </c>
      <c r="M26" s="40">
        <f>M24*M27*1000*1000</f>
        <v>82744.529813749978</v>
      </c>
      <c r="N26" s="40">
        <f>N24*N27*1000*1000</f>
        <v>90682.901765399976</v>
      </c>
      <c r="O26" s="40">
        <f>O24*O27*1000*1000</f>
        <v>98840.807356391349</v>
      </c>
    </row>
    <row r="27" spans="1:23" x14ac:dyDescent="0.2">
      <c r="B27" s="25" t="s">
        <v>17</v>
      </c>
      <c r="D27" s="19">
        <f t="shared" ref="D27:J27" si="20">(D26/1000)/(D24*1000)</f>
        <v>1.336842105263158E-2</v>
      </c>
      <c r="E27" s="19">
        <f t="shared" si="20"/>
        <v>1.474074074074074E-2</v>
      </c>
      <c r="F27" s="19">
        <f t="shared" si="20"/>
        <v>1.3503184713375796E-2</v>
      </c>
      <c r="G27" s="19">
        <f t="shared" si="20"/>
        <v>1.4758842443729903E-2</v>
      </c>
      <c r="H27" s="19">
        <f t="shared" si="20"/>
        <v>1.5667655786350147E-2</v>
      </c>
      <c r="I27" s="19">
        <f t="shared" si="20"/>
        <v>1.4807692307692308E-2</v>
      </c>
      <c r="J27" s="19">
        <f t="shared" si="20"/>
        <v>1.6403269754768392E-2</v>
      </c>
      <c r="K27" s="19">
        <f>J27+($O$27-$J$27)/5</f>
        <v>1.8122615803814714E-2</v>
      </c>
      <c r="L27" s="19">
        <f t="shared" ref="L27:N27" si="21">K27+($O$27-$J$27)/5</f>
        <v>1.9841961852861037E-2</v>
      </c>
      <c r="M27" s="19">
        <f t="shared" si="21"/>
        <v>2.156130790190736E-2</v>
      </c>
      <c r="N27" s="19">
        <f t="shared" si="21"/>
        <v>2.3280653950953682E-2</v>
      </c>
      <c r="O27" s="19">
        <v>2.5000000000000001E-2</v>
      </c>
      <c r="P27" s="19"/>
      <c r="Q27" s="19"/>
      <c r="R27" s="19"/>
      <c r="S27" s="19"/>
      <c r="T27" s="19"/>
      <c r="U27" s="19"/>
      <c r="V27" s="19"/>
      <c r="W27" s="19"/>
    </row>
    <row r="28" spans="1:23" x14ac:dyDescent="0.2">
      <c r="B28" s="25" t="s">
        <v>18</v>
      </c>
      <c r="D28" s="19">
        <f t="shared" ref="D28:I28" si="22">D8/D26</f>
        <v>9.661417322834645E-2</v>
      </c>
      <c r="E28" s="19">
        <f t="shared" si="22"/>
        <v>9.424623115577889E-2</v>
      </c>
      <c r="F28" s="19">
        <f t="shared" si="22"/>
        <v>9.2806603773584906E-2</v>
      </c>
      <c r="G28" s="19">
        <f t="shared" si="22"/>
        <v>9.4204793028322437E-2</v>
      </c>
      <c r="H28" s="19">
        <f t="shared" si="22"/>
        <v>0.11556818181818182</v>
      </c>
      <c r="I28" s="19">
        <f t="shared" si="22"/>
        <v>0.13059369202226345</v>
      </c>
      <c r="J28" s="20">
        <f>AVERAGE(D28:I28)</f>
        <v>0.10400561250441299</v>
      </c>
      <c r="K28" s="20">
        <f>AVERAGE(E28:J28)</f>
        <v>0.1052375190504241</v>
      </c>
      <c r="L28" s="20">
        <f t="shared" ref="L28:O28" si="23">AVERAGE(F28:K28)</f>
        <v>0.10706940036619829</v>
      </c>
      <c r="M28" s="20">
        <f t="shared" si="23"/>
        <v>0.10944653313163384</v>
      </c>
      <c r="N28" s="20">
        <f t="shared" si="23"/>
        <v>0.11198682314885243</v>
      </c>
      <c r="O28" s="20">
        <f t="shared" si="23"/>
        <v>0.11138993003729752</v>
      </c>
    </row>
    <row r="29" spans="1:23" x14ac:dyDescent="0.2">
      <c r="B29" s="25"/>
      <c r="D29" s="19"/>
      <c r="E29" s="19"/>
      <c r="F29" s="19"/>
      <c r="G29" s="19"/>
      <c r="H29" s="19"/>
      <c r="I29" s="19"/>
      <c r="J29" s="20"/>
      <c r="K29" s="20"/>
      <c r="L29" s="20"/>
      <c r="M29" s="20"/>
      <c r="N29" s="20"/>
      <c r="O29" s="20"/>
    </row>
    <row r="30" spans="1:23" ht="15" x14ac:dyDescent="0.25">
      <c r="B30" s="26" t="s">
        <v>19</v>
      </c>
      <c r="D30" s="19"/>
      <c r="E30" s="19"/>
      <c r="F30" s="19"/>
      <c r="G30" s="19"/>
      <c r="H30" s="19"/>
      <c r="I30" s="19"/>
      <c r="J30" s="20"/>
      <c r="K30" s="20"/>
      <c r="L30" s="20"/>
      <c r="M30" s="20"/>
      <c r="N30" s="20"/>
      <c r="O30" s="20"/>
    </row>
    <row r="31" spans="1:23" s="10" customFormat="1" x14ac:dyDescent="0.2">
      <c r="A31" s="1"/>
      <c r="B31" s="25" t="s">
        <v>20</v>
      </c>
      <c r="C31" s="1"/>
      <c r="D31" s="27">
        <v>21.54</v>
      </c>
      <c r="E31" s="27">
        <v>21.38</v>
      </c>
      <c r="F31" s="27">
        <v>23.73</v>
      </c>
      <c r="G31" s="27">
        <v>26.05</v>
      </c>
      <c r="H31" s="27">
        <v>27.81</v>
      </c>
      <c r="I31" s="27">
        <v>29.3</v>
      </c>
      <c r="J31" s="27">
        <v>29.8</v>
      </c>
      <c r="K31" s="10">
        <f>J31*(1+K32)</f>
        <v>30.246999999999996</v>
      </c>
      <c r="L31" s="10">
        <f t="shared" ref="L31:O31" si="24">K31*(1+L32)</f>
        <v>30.700704999999992</v>
      </c>
      <c r="M31" s="10">
        <f t="shared" si="24"/>
        <v>31.161215574999989</v>
      </c>
      <c r="N31" s="10">
        <f t="shared" si="24"/>
        <v>31.628633808624986</v>
      </c>
      <c r="O31" s="10">
        <f t="shared" si="24"/>
        <v>32.103063315754355</v>
      </c>
    </row>
    <row r="32" spans="1:23" s="10" customFormat="1" x14ac:dyDescent="0.2">
      <c r="A32" s="1"/>
      <c r="B32" s="23" t="s">
        <v>12</v>
      </c>
      <c r="C32" s="1"/>
      <c r="E32" s="21">
        <f>E31/D31-1</f>
        <v>-7.4280408542246601E-3</v>
      </c>
      <c r="F32" s="21">
        <f>F31/E31-1</f>
        <v>0.10991580916744637</v>
      </c>
      <c r="G32" s="21">
        <f>G31/F31-1</f>
        <v>9.7766540244416333E-2</v>
      </c>
      <c r="H32" s="21">
        <f t="shared" ref="H32:I32" si="25">H31/G31-1</f>
        <v>6.7562380038387548E-2</v>
      </c>
      <c r="I32" s="21">
        <f t="shared" si="25"/>
        <v>5.357784969435464E-2</v>
      </c>
      <c r="J32" s="21">
        <f>J31/I31-1</f>
        <v>1.7064846416382284E-2</v>
      </c>
      <c r="K32" s="28">
        <v>1.4999999999999999E-2</v>
      </c>
      <c r="L32" s="28">
        <v>1.4999999999999999E-2</v>
      </c>
      <c r="M32" s="28">
        <v>1.4999999999999999E-2</v>
      </c>
      <c r="N32" s="28">
        <v>1.4999999999999999E-2</v>
      </c>
      <c r="O32" s="28">
        <v>1.4999999999999999E-2</v>
      </c>
    </row>
    <row r="33" spans="1:15" s="10" customFormat="1" x14ac:dyDescent="0.2">
      <c r="A33" s="1"/>
      <c r="B33" s="25" t="s">
        <v>21</v>
      </c>
      <c r="C33" s="1"/>
      <c r="D33" s="3">
        <v>734340</v>
      </c>
      <c r="E33" s="3">
        <v>778400</v>
      </c>
      <c r="F33" s="3">
        <v>806230</v>
      </c>
      <c r="G33" s="3">
        <v>876940</v>
      </c>
      <c r="H33" s="3">
        <v>916010</v>
      </c>
      <c r="I33" s="3">
        <v>997300</v>
      </c>
      <c r="J33" s="3">
        <v>926800</v>
      </c>
      <c r="K33" s="6">
        <f>K31*K34*1000000</f>
        <v>1020685.040621478</v>
      </c>
      <c r="L33" s="6">
        <f t="shared" ref="L33:O33" si="26">L31*L34*1000000</f>
        <v>1034473.7842100508</v>
      </c>
      <c r="M33" s="6">
        <f t="shared" si="26"/>
        <v>1037916.288844557</v>
      </c>
      <c r="N33" s="6">
        <f t="shared" si="26"/>
        <v>1050470.4428561598</v>
      </c>
      <c r="O33" s="6">
        <f t="shared" si="26"/>
        <v>1064158.7636494348</v>
      </c>
    </row>
    <row r="34" spans="1:15" s="10" customFormat="1" x14ac:dyDescent="0.2">
      <c r="A34" s="1"/>
      <c r="B34" s="25" t="s">
        <v>22</v>
      </c>
      <c r="C34" s="1"/>
      <c r="D34" s="19">
        <f>D33/(D31*1000000)</f>
        <v>3.4091922005571033E-2</v>
      </c>
      <c r="E34" s="19">
        <f t="shared" ref="E34:J34" si="27">E33/(E31*1000000)</f>
        <v>3.6407857811038356E-2</v>
      </c>
      <c r="F34" s="19">
        <f t="shared" si="27"/>
        <v>3.397513695743784E-2</v>
      </c>
      <c r="G34" s="19">
        <f t="shared" si="27"/>
        <v>3.3663723608445301E-2</v>
      </c>
      <c r="H34" s="19">
        <f t="shared" si="27"/>
        <v>3.293815174397699E-2</v>
      </c>
      <c r="I34" s="19">
        <f>I33/(I31*1000000)</f>
        <v>3.403754266211604E-2</v>
      </c>
      <c r="J34" s="19">
        <f t="shared" si="27"/>
        <v>3.1100671140939597E-2</v>
      </c>
      <c r="K34" s="24">
        <f>AVERAGE(D34:J34)</f>
        <v>3.3745000847075018E-2</v>
      </c>
      <c r="L34" s="24">
        <f t="shared" ref="L34:O34" si="28">AVERAGE(E34:K34)</f>
        <v>3.3695440681575588E-2</v>
      </c>
      <c r="M34" s="24">
        <f t="shared" si="28"/>
        <v>3.3307952520223769E-2</v>
      </c>
      <c r="N34" s="24">
        <f t="shared" si="28"/>
        <v>3.3212640457764613E-2</v>
      </c>
      <c r="O34" s="24">
        <f t="shared" si="28"/>
        <v>3.3148200007667376E-2</v>
      </c>
    </row>
    <row r="35" spans="1:15" s="10" customFormat="1" x14ac:dyDescent="0.2">
      <c r="A35" s="1"/>
      <c r="B35" s="25" t="s">
        <v>23</v>
      </c>
      <c r="C35" s="1"/>
      <c r="D35" s="6">
        <f t="shared" ref="D35:O35" si="29">D33/D57</f>
        <v>574106.79383941833</v>
      </c>
      <c r="E35" s="6">
        <f t="shared" si="29"/>
        <v>602243.71373307542</v>
      </c>
      <c r="F35" s="6">
        <f t="shared" si="29"/>
        <v>586562.38632229902</v>
      </c>
      <c r="G35" s="6">
        <f t="shared" si="29"/>
        <v>711340.03893575608</v>
      </c>
      <c r="H35" s="6">
        <f t="shared" si="29"/>
        <v>734747.73401780706</v>
      </c>
      <c r="I35" s="6">
        <f t="shared" si="29"/>
        <v>780543.1634969085</v>
      </c>
      <c r="J35" s="6">
        <f t="shared" si="29"/>
        <v>702014.84623541881</v>
      </c>
      <c r="K35" s="6">
        <f t="shared" si="29"/>
        <v>773129.10212201031</v>
      </c>
      <c r="L35" s="6">
        <f t="shared" si="29"/>
        <v>783573.53750193212</v>
      </c>
      <c r="M35" s="6">
        <f t="shared" si="29"/>
        <v>786181.1004730775</v>
      </c>
      <c r="N35" s="6">
        <f t="shared" si="29"/>
        <v>795690.38240884698</v>
      </c>
      <c r="O35" s="6">
        <f t="shared" si="29"/>
        <v>806058.75143874774</v>
      </c>
    </row>
    <row r="36" spans="1:15" x14ac:dyDescent="0.2">
      <c r="B36" s="25" t="s">
        <v>24</v>
      </c>
      <c r="D36" s="21">
        <f t="shared" ref="D36:I36" si="30">D10/D35</f>
        <v>1.5040755644524334E-2</v>
      </c>
      <c r="E36" s="21">
        <f t="shared" si="30"/>
        <v>1.5457197456320659E-2</v>
      </c>
      <c r="F36" s="21">
        <f t="shared" si="30"/>
        <v>1.5527760068466815E-2</v>
      </c>
      <c r="G36" s="21">
        <f t="shared" si="30"/>
        <v>1.4278684516614589E-2</v>
      </c>
      <c r="H36" s="21">
        <f t="shared" si="30"/>
        <v>1.4562821366578967E-2</v>
      </c>
      <c r="I36" s="21">
        <f t="shared" si="30"/>
        <v>1.6090077509275044E-2</v>
      </c>
      <c r="J36" s="21">
        <f>AVERAGE(D36:I36)</f>
        <v>1.5159549426963403E-2</v>
      </c>
      <c r="K36" s="21">
        <f>MAX(AVERAGE(E36:J36),2%)</f>
        <v>0.02</v>
      </c>
      <c r="L36" s="21">
        <f t="shared" ref="L36:O36" si="31">MAX(AVERAGE(F36:K36),2%)</f>
        <v>0.02</v>
      </c>
      <c r="M36" s="21">
        <f t="shared" si="31"/>
        <v>0.02</v>
      </c>
      <c r="N36" s="21">
        <f t="shared" si="31"/>
        <v>0.02</v>
      </c>
      <c r="O36" s="21">
        <f t="shared" si="31"/>
        <v>0.02</v>
      </c>
    </row>
    <row r="37" spans="1:15" x14ac:dyDescent="0.2">
      <c r="B37" s="25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 ht="15" x14ac:dyDescent="0.25">
      <c r="B38" s="26" t="s">
        <v>25</v>
      </c>
      <c r="D38" s="21"/>
      <c r="E38" s="21"/>
      <c r="F38" s="21"/>
      <c r="G38" s="21"/>
      <c r="H38" s="21"/>
      <c r="I38" s="21"/>
      <c r="K38" s="9"/>
      <c r="L38" s="9"/>
      <c r="M38" s="9"/>
      <c r="N38" s="9"/>
    </row>
    <row r="39" spans="1:15" s="10" customFormat="1" x14ac:dyDescent="0.2">
      <c r="A39" s="1"/>
      <c r="B39" s="1" t="s">
        <v>26</v>
      </c>
      <c r="C39" s="1"/>
      <c r="D39" s="27">
        <v>15.8</v>
      </c>
      <c r="E39" s="27">
        <v>15.5</v>
      </c>
      <c r="F39" s="27">
        <v>17.5</v>
      </c>
      <c r="G39" s="27">
        <v>17</v>
      </c>
      <c r="H39" s="27">
        <v>18.3</v>
      </c>
      <c r="I39" s="27">
        <v>19.399999999999999</v>
      </c>
      <c r="J39" s="27">
        <v>19.7</v>
      </c>
      <c r="K39" s="10">
        <f>J39*(1+K41)</f>
        <v>20.094000000000001</v>
      </c>
      <c r="L39" s="10">
        <f t="shared" ref="L39:O39" si="32">K39*(1+L41)</f>
        <v>20.495880000000003</v>
      </c>
      <c r="M39" s="10">
        <f t="shared" si="32"/>
        <v>20.905797600000003</v>
      </c>
      <c r="N39" s="10">
        <f t="shared" si="32"/>
        <v>21.323913552000004</v>
      </c>
      <c r="O39" s="10">
        <f t="shared" si="32"/>
        <v>21.750391823040005</v>
      </c>
    </row>
    <row r="40" spans="1:15" s="10" customFormat="1" x14ac:dyDescent="0.2">
      <c r="A40" s="1"/>
      <c r="B40" s="1" t="s">
        <v>27</v>
      </c>
      <c r="C40" s="1"/>
      <c r="D40" s="10">
        <f t="shared" ref="D40:O40" si="33">D39/D56</f>
        <v>14.134907854714619</v>
      </c>
      <c r="E40" s="10">
        <f t="shared" si="33"/>
        <v>13.511157601115761</v>
      </c>
      <c r="F40" s="10">
        <f t="shared" si="33"/>
        <v>14.83302254619427</v>
      </c>
      <c r="G40" s="10">
        <f t="shared" si="33"/>
        <v>16.145882799886031</v>
      </c>
      <c r="H40" s="10">
        <f t="shared" si="33"/>
        <v>16.917814551169453</v>
      </c>
      <c r="I40" s="10">
        <f t="shared" si="33"/>
        <v>17.98127722680508</v>
      </c>
      <c r="J40" s="10">
        <f t="shared" si="33"/>
        <v>17.416674034126071</v>
      </c>
      <c r="K40" s="10">
        <f t="shared" si="33"/>
        <v>17.765007514808595</v>
      </c>
      <c r="L40" s="10">
        <f t="shared" si="33"/>
        <v>18.120307665104768</v>
      </c>
      <c r="M40" s="10">
        <f t="shared" si="33"/>
        <v>18.482713818406864</v>
      </c>
      <c r="N40" s="10">
        <f t="shared" si="33"/>
        <v>18.852368094775002</v>
      </c>
      <c r="O40" s="10">
        <f t="shared" si="33"/>
        <v>19.229415456670502</v>
      </c>
    </row>
    <row r="41" spans="1:15" x14ac:dyDescent="0.2">
      <c r="B41" s="23" t="s">
        <v>12</v>
      </c>
      <c r="D41" s="21"/>
      <c r="E41" s="21">
        <f>E39/D39-1</f>
        <v>-1.8987341772151889E-2</v>
      </c>
      <c r="F41" s="21">
        <f>F39/E39-1</f>
        <v>0.12903225806451624</v>
      </c>
      <c r="G41" s="21">
        <f t="shared" ref="G41:J41" si="34">G39/F39-1</f>
        <v>-2.8571428571428581E-2</v>
      </c>
      <c r="H41" s="21">
        <f t="shared" si="34"/>
        <v>7.6470588235294068E-2</v>
      </c>
      <c r="I41" s="21">
        <f t="shared" si="34"/>
        <v>6.0109289617486183E-2</v>
      </c>
      <c r="J41" s="21">
        <f t="shared" si="34"/>
        <v>1.5463917525773141E-2</v>
      </c>
      <c r="K41" s="9">
        <f>MIN(AVERAGE(E41:J41),2%)</f>
        <v>0.02</v>
      </c>
      <c r="L41" s="9">
        <f t="shared" ref="L41:O41" si="35">MIN(AVERAGE(F41:K41),2%)</f>
        <v>0.02</v>
      </c>
      <c r="M41" s="9">
        <f t="shared" si="35"/>
        <v>0.02</v>
      </c>
      <c r="N41" s="9">
        <f t="shared" si="35"/>
        <v>0.02</v>
      </c>
      <c r="O41" s="9">
        <f t="shared" si="35"/>
        <v>0.02</v>
      </c>
    </row>
    <row r="42" spans="1:15" x14ac:dyDescent="0.2">
      <c r="B42" s="1" t="s">
        <v>28</v>
      </c>
      <c r="D42" s="29">
        <v>0.02</v>
      </c>
      <c r="E42" s="29">
        <v>0.02</v>
      </c>
      <c r="F42" s="29">
        <v>0.02</v>
      </c>
      <c r="G42" s="29">
        <v>0.02</v>
      </c>
      <c r="H42" s="29">
        <v>0.02</v>
      </c>
      <c r="I42" s="29">
        <v>0.02</v>
      </c>
      <c r="J42" s="29">
        <v>0.02</v>
      </c>
      <c r="K42" s="19">
        <f>J42+(($O$42-$J$42)/5)</f>
        <v>2.1999999999999999E-2</v>
      </c>
      <c r="L42" s="19">
        <f>K42+(($O$42-$J$42)/5)</f>
        <v>2.3999999999999997E-2</v>
      </c>
      <c r="M42" s="19">
        <f>L42+(($O$42-$J$42)/5)</f>
        <v>2.5999999999999995E-2</v>
      </c>
      <c r="N42" s="19">
        <f>M42+(($O$42-$J$42)/5)</f>
        <v>2.7999999999999994E-2</v>
      </c>
      <c r="O42" s="29">
        <v>0.03</v>
      </c>
    </row>
    <row r="43" spans="1:15" x14ac:dyDescent="0.2">
      <c r="B43" s="1" t="s">
        <v>29</v>
      </c>
      <c r="D43" s="6">
        <f>((D39*D42)*1000)*1000</f>
        <v>316000</v>
      </c>
      <c r="E43" s="6">
        <f t="shared" ref="E43:O43" si="36">((E39*E42)*1000)*1000</f>
        <v>310000</v>
      </c>
      <c r="F43" s="6">
        <f t="shared" si="36"/>
        <v>350000.00000000006</v>
      </c>
      <c r="G43" s="6">
        <f t="shared" si="36"/>
        <v>340000</v>
      </c>
      <c r="H43" s="6">
        <f t="shared" si="36"/>
        <v>366000.00000000006</v>
      </c>
      <c r="I43" s="6">
        <f t="shared" si="36"/>
        <v>387999.99999999994</v>
      </c>
      <c r="J43" s="6">
        <f t="shared" si="36"/>
        <v>394000</v>
      </c>
      <c r="K43" s="6">
        <f t="shared" si="36"/>
        <v>442068.00000000006</v>
      </c>
      <c r="L43" s="6">
        <f t="shared" si="36"/>
        <v>491901.12000000005</v>
      </c>
      <c r="M43" s="6">
        <f t="shared" si="36"/>
        <v>543550.73759999988</v>
      </c>
      <c r="N43" s="6">
        <f t="shared" si="36"/>
        <v>597069.57945600001</v>
      </c>
      <c r="O43" s="6">
        <f t="shared" si="36"/>
        <v>652511.75469120021</v>
      </c>
    </row>
    <row r="44" spans="1:15" x14ac:dyDescent="0.2"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10" customFormat="1" x14ac:dyDescent="0.2">
      <c r="A45" s="1"/>
      <c r="B45" s="25" t="s">
        <v>30</v>
      </c>
      <c r="C45" s="1"/>
      <c r="D45" s="3">
        <v>186000</v>
      </c>
      <c r="E45" s="3">
        <v>198000</v>
      </c>
      <c r="F45" s="3">
        <v>214000</v>
      </c>
      <c r="G45" s="3">
        <v>240000</v>
      </c>
      <c r="H45" s="3">
        <v>279000</v>
      </c>
      <c r="I45" s="3">
        <v>343200</v>
      </c>
      <c r="J45" s="3">
        <v>381000</v>
      </c>
      <c r="K45" s="6">
        <f>K46*K40*1000000</f>
        <v>424150.01502961718</v>
      </c>
      <c r="L45" s="6">
        <f t="shared" ref="L45:O45" si="37">L46*L40*1000000</f>
        <v>468873.63066041912</v>
      </c>
      <c r="M45" s="6">
        <f t="shared" si="37"/>
        <v>515216.53091044119</v>
      </c>
      <c r="N45" s="6">
        <f t="shared" si="37"/>
        <v>563225.59771820006</v>
      </c>
      <c r="O45" s="6">
        <f t="shared" si="37"/>
        <v>673029.54098346771</v>
      </c>
    </row>
    <row r="46" spans="1:15" s="19" customFormat="1" x14ac:dyDescent="0.2">
      <c r="A46" s="1"/>
      <c r="B46" s="1" t="s">
        <v>31</v>
      </c>
      <c r="C46" s="1"/>
      <c r="D46" s="19">
        <f>D45/(D40*1000000)</f>
        <v>1.3158911392405062E-2</v>
      </c>
      <c r="E46" s="19">
        <f t="shared" ref="E46:J46" si="38">E45/(E40*1000000)</f>
        <v>1.4654554838709677E-2</v>
      </c>
      <c r="F46" s="19">
        <f t="shared" si="38"/>
        <v>1.4427268571428571E-2</v>
      </c>
      <c r="G46" s="19">
        <f t="shared" si="38"/>
        <v>1.4864470588235291E-2</v>
      </c>
      <c r="H46" s="19">
        <f t="shared" si="38"/>
        <v>1.6491491803278694E-2</v>
      </c>
      <c r="I46" s="19">
        <f t="shared" si="38"/>
        <v>1.9086519587628865E-2</v>
      </c>
      <c r="J46" s="19">
        <f t="shared" si="38"/>
        <v>2.187558883248731E-2</v>
      </c>
      <c r="K46" s="19">
        <f>J46+(($O$42-$J$42)/5)</f>
        <v>2.3875588832487308E-2</v>
      </c>
      <c r="L46" s="19">
        <f t="shared" ref="L46:N46" si="39">K46+(($O$42-$J$42)/5)</f>
        <v>2.5875588832487306E-2</v>
      </c>
      <c r="M46" s="19">
        <f t="shared" si="39"/>
        <v>2.7875588832487305E-2</v>
      </c>
      <c r="N46" s="19">
        <f t="shared" si="39"/>
        <v>2.9875588832487303E-2</v>
      </c>
      <c r="O46" s="29">
        <v>3.5000000000000003E-2</v>
      </c>
    </row>
    <row r="47" spans="1:15" s="19" customFormat="1" x14ac:dyDescent="0.2">
      <c r="A47" s="1"/>
      <c r="B47" s="1" t="s">
        <v>32</v>
      </c>
      <c r="C47" s="1"/>
      <c r="D47" s="19">
        <f t="shared" ref="D47:I47" si="40">D9/D45</f>
        <v>6.2150537634408599E-3</v>
      </c>
      <c r="E47" s="19">
        <f t="shared" si="40"/>
        <v>6.2373737373737376E-3</v>
      </c>
      <c r="F47" s="19">
        <f t="shared" si="40"/>
        <v>7.0186915887850464E-3</v>
      </c>
      <c r="G47" s="19">
        <f t="shared" si="40"/>
        <v>7.6E-3</v>
      </c>
      <c r="H47" s="19">
        <f t="shared" si="40"/>
        <v>5.4946236559139782E-3</v>
      </c>
      <c r="I47" s="19">
        <f t="shared" si="40"/>
        <v>5.0495337995337996E-3</v>
      </c>
      <c r="J47" s="19">
        <f>AVERAGE(D47:I47)</f>
        <v>6.2692127575079033E-3</v>
      </c>
      <c r="K47" s="19">
        <f t="shared" ref="K47:O47" si="41">AVERAGE(E47:J47)</f>
        <v>6.2782392565190774E-3</v>
      </c>
      <c r="L47" s="19">
        <f t="shared" si="41"/>
        <v>6.2850501763766333E-3</v>
      </c>
      <c r="M47" s="19">
        <f t="shared" si="41"/>
        <v>6.1627766076418995E-3</v>
      </c>
      <c r="N47" s="19">
        <f t="shared" si="41"/>
        <v>5.9232393755822149E-3</v>
      </c>
      <c r="O47" s="19">
        <f t="shared" si="41"/>
        <v>5.9946753288602538E-3</v>
      </c>
    </row>
    <row r="48" spans="1:15" s="19" customFormat="1" x14ac:dyDescent="0.2">
      <c r="A48" s="1"/>
      <c r="B48" s="1"/>
      <c r="C48" s="1"/>
    </row>
    <row r="49" spans="1:16" ht="15" x14ac:dyDescent="0.25">
      <c r="B49" s="26" t="s">
        <v>33</v>
      </c>
      <c r="D49" s="10"/>
      <c r="E49" s="21"/>
      <c r="F49" s="21"/>
      <c r="G49" s="21"/>
      <c r="H49" s="21"/>
      <c r="I49" s="21"/>
      <c r="K49" s="9"/>
      <c r="L49" s="9"/>
      <c r="M49" s="9"/>
      <c r="N49" s="9"/>
    </row>
    <row r="50" spans="1:16" s="10" customFormat="1" x14ac:dyDescent="0.2">
      <c r="A50" s="1"/>
      <c r="B50" s="25" t="s">
        <v>34</v>
      </c>
      <c r="C50" s="1"/>
      <c r="D50" s="3">
        <v>888.89</v>
      </c>
      <c r="E50" s="3">
        <v>767.95</v>
      </c>
      <c r="F50" s="3">
        <v>982.66</v>
      </c>
      <c r="G50" s="3">
        <v>1240</v>
      </c>
      <c r="H50" s="3">
        <v>1220</v>
      </c>
      <c r="I50" s="3">
        <v>1240</v>
      </c>
      <c r="J50" s="3">
        <v>1270</v>
      </c>
      <c r="K50" s="3">
        <v>1320</v>
      </c>
      <c r="L50" s="3">
        <v>1380</v>
      </c>
      <c r="M50" s="3">
        <v>1450</v>
      </c>
      <c r="N50" s="3">
        <v>1520</v>
      </c>
      <c r="O50" s="3">
        <v>1600</v>
      </c>
      <c r="P50" s="10" t="s">
        <v>35</v>
      </c>
    </row>
    <row r="51" spans="1:16" s="10" customFormat="1" x14ac:dyDescent="0.2">
      <c r="A51" s="1"/>
      <c r="B51" s="1" t="s">
        <v>36</v>
      </c>
      <c r="C51" s="1"/>
      <c r="D51" s="3">
        <v>65.36</v>
      </c>
      <c r="E51" s="3">
        <v>64.56</v>
      </c>
      <c r="F51" s="3">
        <v>63.19</v>
      </c>
      <c r="G51" s="3">
        <v>70.92</v>
      </c>
      <c r="H51" s="3">
        <v>75.81</v>
      </c>
      <c r="I51" s="3">
        <v>80.33</v>
      </c>
      <c r="J51" s="3">
        <v>78</v>
      </c>
      <c r="K51" s="11">
        <f>K50*K52</f>
        <v>88.144961967077364</v>
      </c>
      <c r="L51" s="11">
        <f t="shared" ref="L51:O51" si="42">L50*L52</f>
        <v>90.820162288326259</v>
      </c>
      <c r="M51" s="11">
        <f t="shared" si="42"/>
        <v>91.645327973161031</v>
      </c>
      <c r="N51" s="11">
        <f t="shared" si="42"/>
        <v>95.830429450720231</v>
      </c>
      <c r="O51" s="11">
        <f t="shared" si="42"/>
        <v>102.21191609885334</v>
      </c>
    </row>
    <row r="52" spans="1:16" s="10" customFormat="1" x14ac:dyDescent="0.2">
      <c r="A52" s="1"/>
      <c r="B52" s="1" t="s">
        <v>28</v>
      </c>
      <c r="C52" s="1"/>
      <c r="D52" s="29">
        <f>D51/D50</f>
        <v>7.3529908087614892E-2</v>
      </c>
      <c r="E52" s="29">
        <f t="shared" ref="E52:J52" si="43">E51/E50</f>
        <v>8.406797317533693E-2</v>
      </c>
      <c r="F52" s="29">
        <f t="shared" si="43"/>
        <v>6.4305049559359284E-2</v>
      </c>
      <c r="G52" s="29">
        <f t="shared" si="43"/>
        <v>5.7193548387096775E-2</v>
      </c>
      <c r="H52" s="29">
        <f t="shared" si="43"/>
        <v>6.2139344262295081E-2</v>
      </c>
      <c r="I52" s="29">
        <f t="shared" si="43"/>
        <v>6.4782258064516124E-2</v>
      </c>
      <c r="J52" s="29">
        <f t="shared" si="43"/>
        <v>6.1417322834645668E-2</v>
      </c>
      <c r="K52" s="24">
        <f>AVERAGE(D52:J52)</f>
        <v>6.6776486338694971E-2</v>
      </c>
      <c r="L52" s="24">
        <f t="shared" ref="L52:O52" si="44">AVERAGE(E52:K52)</f>
        <v>6.581171180313497E-2</v>
      </c>
      <c r="M52" s="24">
        <f t="shared" si="44"/>
        <v>6.3203674464248988E-2</v>
      </c>
      <c r="N52" s="24">
        <f t="shared" si="44"/>
        <v>6.3046335164947523E-2</v>
      </c>
      <c r="O52" s="24">
        <f t="shared" si="44"/>
        <v>6.3882447561783337E-2</v>
      </c>
    </row>
    <row r="53" spans="1:16" s="10" customFormat="1" x14ac:dyDescent="0.2">
      <c r="A53" s="1"/>
      <c r="B53" s="1" t="s">
        <v>37</v>
      </c>
      <c r="C53" s="1"/>
      <c r="D53" s="29">
        <f t="shared" ref="D53:J53" si="45">(D11/1000)/D51</f>
        <v>3.9672582619339043E-2</v>
      </c>
      <c r="E53" s="29">
        <f t="shared" si="45"/>
        <v>4.0752788104089215E-2</v>
      </c>
      <c r="F53" s="29">
        <f t="shared" si="45"/>
        <v>3.9183415097325529E-2</v>
      </c>
      <c r="G53" s="29">
        <f t="shared" si="45"/>
        <v>3.5815002820078962E-2</v>
      </c>
      <c r="H53" s="29">
        <f t="shared" si="45"/>
        <v>3.5443872839994721E-2</v>
      </c>
      <c r="I53" s="29">
        <f t="shared" si="45"/>
        <v>3.6001493837918584E-2</v>
      </c>
      <c r="J53" s="29">
        <f t="shared" si="45"/>
        <v>3.6384615384615383E-2</v>
      </c>
      <c r="K53" s="24">
        <f>AVERAGE(D53:J53)</f>
        <v>3.760768152905164E-2</v>
      </c>
      <c r="L53" s="24">
        <f t="shared" ref="L53:O53" si="46">AVERAGE(E53:K53)</f>
        <v>3.7312695659010575E-2</v>
      </c>
      <c r="M53" s="24">
        <f t="shared" si="46"/>
        <v>3.6821253881142199E-2</v>
      </c>
      <c r="N53" s="24">
        <f t="shared" si="46"/>
        <v>3.6483802278830295E-2</v>
      </c>
      <c r="O53" s="24">
        <f t="shared" si="46"/>
        <v>3.6579345058651916E-2</v>
      </c>
    </row>
    <row r="54" spans="1:16" s="10" customFormat="1" x14ac:dyDescent="0.2">
      <c r="A54" s="1"/>
      <c r="B54" s="1"/>
      <c r="C54" s="1"/>
      <c r="D54" s="3"/>
      <c r="E54" s="3"/>
      <c r="F54" s="3"/>
      <c r="G54" s="3"/>
      <c r="H54" s="3"/>
      <c r="I54" s="3"/>
      <c r="J54" s="3"/>
    </row>
    <row r="55" spans="1:16" s="10" customFormat="1" x14ac:dyDescent="0.2">
      <c r="A55" s="1"/>
      <c r="B55" s="1"/>
      <c r="C55" s="1"/>
      <c r="D55" s="6"/>
      <c r="E55" s="6"/>
      <c r="F55" s="6"/>
      <c r="G55" s="6"/>
      <c r="H55" s="6"/>
      <c r="I55" s="6"/>
      <c r="J55" s="6"/>
    </row>
    <row r="56" spans="1:16" s="10" customFormat="1" x14ac:dyDescent="0.2">
      <c r="A56" s="1"/>
      <c r="B56" s="1" t="s">
        <v>38</v>
      </c>
      <c r="C56" s="1"/>
      <c r="D56" s="30">
        <v>1.1177999999999999</v>
      </c>
      <c r="E56" s="30">
        <v>1.1472</v>
      </c>
      <c r="F56" s="30">
        <v>1.1798</v>
      </c>
      <c r="G56" s="30">
        <v>1.0528999999999999</v>
      </c>
      <c r="H56" s="30">
        <v>1.0817000000000001</v>
      </c>
      <c r="I56" s="30">
        <v>1.0789</v>
      </c>
      <c r="J56" s="30">
        <v>1.1311</v>
      </c>
      <c r="K56" s="30">
        <v>1.1311</v>
      </c>
      <c r="L56" s="30">
        <v>1.1311</v>
      </c>
      <c r="M56" s="30">
        <v>1.1311</v>
      </c>
      <c r="N56" s="30">
        <v>1.1311</v>
      </c>
      <c r="O56" s="30">
        <v>1.1311</v>
      </c>
    </row>
    <row r="57" spans="1:16" s="10" customFormat="1" x14ac:dyDescent="0.2">
      <c r="A57" s="1"/>
      <c r="B57" s="1" t="s">
        <v>39</v>
      </c>
      <c r="C57" s="1"/>
      <c r="D57" s="30">
        <v>1.2790999999999999</v>
      </c>
      <c r="E57" s="30">
        <v>1.2925</v>
      </c>
      <c r="F57" s="30">
        <v>1.3745000000000001</v>
      </c>
      <c r="G57" s="30">
        <v>1.2327999999999999</v>
      </c>
      <c r="H57" s="30">
        <v>1.2466999999999999</v>
      </c>
      <c r="I57" s="30">
        <v>1.2777000000000001</v>
      </c>
      <c r="J57" s="30">
        <v>1.3202</v>
      </c>
      <c r="K57" s="30">
        <v>1.3202</v>
      </c>
      <c r="L57" s="30">
        <v>1.3202</v>
      </c>
      <c r="M57" s="30">
        <v>1.3202</v>
      </c>
      <c r="N57" s="30">
        <v>1.3202</v>
      </c>
      <c r="O57" s="30">
        <v>1.3202</v>
      </c>
    </row>
    <row r="58" spans="1:16" s="10" customFormat="1" x14ac:dyDescent="0.2">
      <c r="A58" s="1"/>
      <c r="B58" s="1" t="s">
        <v>40</v>
      </c>
      <c r="C58" s="1"/>
      <c r="D58" s="22">
        <f>(1/D56)*D57</f>
        <v>1.1443013061370548</v>
      </c>
      <c r="E58" s="22">
        <f t="shared" ref="E58:J58" si="47">(1/E56)*E57</f>
        <v>1.1266562064156207</v>
      </c>
      <c r="F58" s="22">
        <f t="shared" si="47"/>
        <v>1.1650279708425157</v>
      </c>
      <c r="G58" s="22">
        <f t="shared" si="47"/>
        <v>1.1708614303352645</v>
      </c>
      <c r="H58" s="22">
        <f t="shared" si="47"/>
        <v>1.1525376721826752</v>
      </c>
      <c r="I58" s="22">
        <f t="shared" si="47"/>
        <v>1.184261748076745</v>
      </c>
      <c r="J58" s="22">
        <f t="shared" si="47"/>
        <v>1.1671823888250377</v>
      </c>
      <c r="K58" s="22">
        <f t="shared" ref="K58" si="48">(1/K56)*K57</f>
        <v>1.1671823888250377</v>
      </c>
      <c r="L58" s="22">
        <f t="shared" ref="L58" si="49">(1/L56)*L57</f>
        <v>1.1671823888250377</v>
      </c>
      <c r="M58" s="22">
        <f t="shared" ref="M58" si="50">(1/M56)*M57</f>
        <v>1.1671823888250377</v>
      </c>
      <c r="N58" s="22">
        <f t="shared" ref="N58" si="51">(1/N56)*N57</f>
        <v>1.1671823888250377</v>
      </c>
      <c r="O58" s="22">
        <f t="shared" ref="O58" si="52">(1/O56)*O57</f>
        <v>1.1671823888250377</v>
      </c>
    </row>
    <row r="59" spans="1:16" x14ac:dyDescent="0.2">
      <c r="D59" s="21"/>
      <c r="E59" s="21"/>
      <c r="F59" s="21"/>
      <c r="G59" s="21"/>
      <c r="H59" s="21"/>
      <c r="I59" s="10"/>
      <c r="K59" s="9"/>
      <c r="L59" s="9"/>
      <c r="M59" s="9"/>
      <c r="N59" s="9"/>
    </row>
    <row r="60" spans="1:16" ht="15" x14ac:dyDescent="0.25">
      <c r="B60" s="16" t="s">
        <v>41</v>
      </c>
      <c r="D60" s="3">
        <v>45400</v>
      </c>
      <c r="E60" s="3">
        <v>45200</v>
      </c>
      <c r="F60" s="3">
        <v>44000</v>
      </c>
      <c r="G60" s="3">
        <v>58900</v>
      </c>
      <c r="H60" s="3">
        <v>69800</v>
      </c>
      <c r="I60" s="3">
        <v>77800</v>
      </c>
    </row>
    <row r="61" spans="1:16" ht="15" x14ac:dyDescent="0.25">
      <c r="B61" s="15"/>
    </row>
    <row r="62" spans="1:16" ht="15" x14ac:dyDescent="0.25">
      <c r="B62" s="15"/>
    </row>
    <row r="63" spans="1:16" ht="15" x14ac:dyDescent="0.25">
      <c r="B63"/>
      <c r="C63"/>
      <c r="D63"/>
      <c r="E63"/>
      <c r="F63"/>
      <c r="G63"/>
      <c r="H63"/>
      <c r="I63"/>
      <c r="J63"/>
      <c r="K63"/>
    </row>
    <row r="64" spans="1:16" ht="15" x14ac:dyDescent="0.25">
      <c r="B64"/>
      <c r="C64"/>
      <c r="D64"/>
      <c r="E64"/>
      <c r="F64"/>
      <c r="G64"/>
      <c r="H64"/>
      <c r="I64"/>
      <c r="J64"/>
      <c r="K64"/>
    </row>
    <row r="66" spans="2:2" ht="15" x14ac:dyDescent="0.25">
      <c r="B66" s="4"/>
    </row>
    <row r="67" spans="2:2" x14ac:dyDescent="0.2">
      <c r="B67" s="7"/>
    </row>
    <row r="68" spans="2:2" x14ac:dyDescent="0.2">
      <c r="B68" s="7"/>
    </row>
    <row r="69" spans="2:2" x14ac:dyDescent="0.2">
      <c r="B69" s="7"/>
    </row>
    <row r="70" spans="2:2" x14ac:dyDescent="0.2">
      <c r="B70" s="7"/>
    </row>
    <row r="71" spans="2:2" x14ac:dyDescent="0.2">
      <c r="B71" s="7"/>
    </row>
    <row r="72" spans="2:2" x14ac:dyDescent="0.2">
      <c r="B72" s="7"/>
    </row>
    <row r="73" spans="2:2" s="4" customFormat="1" ht="15" x14ac:dyDescent="0.25">
      <c r="B73" s="15"/>
    </row>
    <row r="75" spans="2:2" ht="15" x14ac:dyDescent="0.25">
      <c r="B75" s="4"/>
    </row>
    <row r="76" spans="2:2" x14ac:dyDescent="0.2">
      <c r="B76" s="7"/>
    </row>
    <row r="77" spans="2:2" x14ac:dyDescent="0.2">
      <c r="B77" s="7"/>
    </row>
    <row r="78" spans="2:2" x14ac:dyDescent="0.2">
      <c r="B78" s="7"/>
    </row>
    <row r="79" spans="2:2" x14ac:dyDescent="0.2">
      <c r="B79" s="7"/>
    </row>
    <row r="80" spans="2:2" x14ac:dyDescent="0.2">
      <c r="B80" s="7"/>
    </row>
    <row r="81" spans="2:2" x14ac:dyDescent="0.2">
      <c r="B81" s="7"/>
    </row>
    <row r="82" spans="2:2" x14ac:dyDescent="0.2">
      <c r="B82" s="7"/>
    </row>
    <row r="83" spans="2:2" x14ac:dyDescent="0.2">
      <c r="B83" s="7"/>
    </row>
    <row r="84" spans="2:2" x14ac:dyDescent="0.2">
      <c r="B84" s="7"/>
    </row>
    <row r="85" spans="2:2" s="4" customFormat="1" ht="15" x14ac:dyDescent="0.25">
      <c r="B85" s="15"/>
    </row>
  </sheetData>
  <customSheetViews>
    <customSheetView guid="{533A6729-32A7-4C45-B8EF-31FE68A4042A}" hiddenRows="1" topLeftCell="B1">
      <pane ySplit="1" topLeftCell="A2" activePane="bottomLeft" state="frozen"/>
      <selection pane="bottomLeft" activeCell="M20" sqref="M20"/>
      <pageMargins left="0" right="0" top="0" bottom="0" header="0" footer="0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F2E9-72AE-4E82-992F-AD060D3A4245}">
  <dimension ref="A2:XFD51"/>
  <sheetViews>
    <sheetView showGridLines="0" zoomScaleNormal="100" workbookViewId="0">
      <pane ySplit="5" topLeftCell="A6" activePane="bottomLeft" state="frozen"/>
      <selection activeCell="B28" sqref="A1:XFD1048576"/>
      <selection pane="bottomLeft" activeCell="B3" sqref="B3"/>
    </sheetView>
  </sheetViews>
  <sheetFormatPr defaultColWidth="9.140625" defaultRowHeight="14.25" x14ac:dyDescent="0.2"/>
  <cols>
    <col min="1" max="1" width="4.7109375" style="1" customWidth="1"/>
    <col min="2" max="2" width="40.7109375" style="1" customWidth="1"/>
    <col min="3" max="3" width="9.140625" style="1"/>
    <col min="4" max="15" width="11.5703125" style="1" bestFit="1" customWidth="1"/>
    <col min="16" max="16384" width="9.140625" style="1"/>
  </cols>
  <sheetData>
    <row r="2" spans="2:16384" x14ac:dyDescent="0.2">
      <c r="B2" s="49" t="str">
        <f>"Exihibit "&amp;VLOOKUP(B3,TOC!$B$7:$D$10,3,FALSE)</f>
        <v>Exihibit 2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6384" ht="30.75" thickBot="1" x14ac:dyDescent="0.45">
      <c r="B3" s="52" t="s">
        <v>173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5" spans="2:16384" x14ac:dyDescent="0.2">
      <c r="B5" s="65" t="s">
        <v>172</v>
      </c>
      <c r="C5" s="65"/>
      <c r="D5" s="66">
        <v>2019</v>
      </c>
      <c r="E5" s="66">
        <f>D5+1</f>
        <v>2020</v>
      </c>
      <c r="F5" s="66">
        <f t="shared" ref="F5:O5" si="0">E5+1</f>
        <v>2021</v>
      </c>
      <c r="G5" s="66">
        <f t="shared" si="0"/>
        <v>2022</v>
      </c>
      <c r="H5" s="66">
        <f t="shared" si="0"/>
        <v>2023</v>
      </c>
      <c r="I5" s="66">
        <f t="shared" si="0"/>
        <v>2024</v>
      </c>
      <c r="J5" s="66">
        <f t="shared" si="0"/>
        <v>2025</v>
      </c>
      <c r="K5" s="67">
        <f t="shared" si="0"/>
        <v>2026</v>
      </c>
      <c r="L5" s="67">
        <f t="shared" si="0"/>
        <v>2027</v>
      </c>
      <c r="M5" s="67">
        <f t="shared" si="0"/>
        <v>2028</v>
      </c>
      <c r="N5" s="67">
        <f t="shared" si="0"/>
        <v>2029</v>
      </c>
      <c r="O5" s="67">
        <f t="shared" si="0"/>
        <v>2030</v>
      </c>
    </row>
    <row r="6" spans="2:16384" ht="3.95" customHeight="1" x14ac:dyDescent="0.2"/>
    <row r="7" spans="2:16384" x14ac:dyDescent="0.2">
      <c r="B7" s="1" t="s">
        <v>42</v>
      </c>
      <c r="D7" s="2">
        <f>Drivers!D18</f>
        <v>18305</v>
      </c>
      <c r="E7" s="2">
        <f>Drivers!E18</f>
        <v>19277</v>
      </c>
      <c r="F7" s="2">
        <f>Drivers!F18</f>
        <v>19521</v>
      </c>
      <c r="G7" s="2">
        <f>Drivers!G18</f>
        <v>21258</v>
      </c>
      <c r="H7" s="2">
        <f>Drivers!H18</f>
        <v>23078</v>
      </c>
      <c r="I7" s="2">
        <f>Drivers!I18</f>
        <v>26312</v>
      </c>
      <c r="J7" s="2">
        <f>Drivers!J18</f>
        <v>28336</v>
      </c>
      <c r="K7" s="2">
        <f>Drivers!K18</f>
        <v>30816.905435567736</v>
      </c>
      <c r="L7" s="2">
        <f>Drivers!L18</f>
        <v>32316.296639459935</v>
      </c>
      <c r="M7" s="2">
        <f>Drivers!M18</f>
        <v>33595.509570500668</v>
      </c>
      <c r="N7" s="2">
        <f>Drivers!N18</f>
        <v>35134.190911126701</v>
      </c>
      <c r="O7" s="2">
        <f>Drivers!O18</f>
        <v>37111.443837712672</v>
      </c>
    </row>
    <row r="8" spans="2:16384" x14ac:dyDescent="0.2">
      <c r="B8" s="1" t="s">
        <v>43</v>
      </c>
      <c r="D8" s="3">
        <v>-6428</v>
      </c>
      <c r="E8" s="3">
        <v>-6777</v>
      </c>
      <c r="F8" s="3">
        <v>-6961</v>
      </c>
      <c r="G8" s="3">
        <v>-7094</v>
      </c>
      <c r="H8" s="3">
        <v>-7873</v>
      </c>
      <c r="I8" s="3">
        <v>-9085</v>
      </c>
      <c r="J8" s="40">
        <f>-J7*J40</f>
        <v>-9820.5344264482901</v>
      </c>
      <c r="K8" s="40">
        <f t="shared" ref="K8:N8" si="1">-K7*K40</f>
        <v>-10656.796459054176</v>
      </c>
      <c r="L8" s="40">
        <f t="shared" si="1"/>
        <v>-11144.337861468728</v>
      </c>
      <c r="M8" s="40">
        <f t="shared" si="1"/>
        <v>-11519.750733110506</v>
      </c>
      <c r="N8" s="40">
        <f t="shared" si="1"/>
        <v>-12101.14750700132</v>
      </c>
      <c r="O8" s="40">
        <f>-O7*O40</f>
        <v>-12802.448009369547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  <c r="XFD8" s="3"/>
    </row>
    <row r="9" spans="2:16384" ht="15" x14ac:dyDescent="0.25">
      <c r="B9" s="4" t="s">
        <v>44</v>
      </c>
      <c r="C9" s="4"/>
      <c r="D9" s="13">
        <f>SUM(D7:D8)</f>
        <v>11877</v>
      </c>
      <c r="E9" s="13">
        <f t="shared" ref="E9:O9" si="2">SUM(E7:E8)</f>
        <v>12500</v>
      </c>
      <c r="F9" s="13">
        <f t="shared" si="2"/>
        <v>12560</v>
      </c>
      <c r="G9" s="13">
        <f t="shared" si="2"/>
        <v>14164</v>
      </c>
      <c r="H9" s="13">
        <f t="shared" si="2"/>
        <v>15205</v>
      </c>
      <c r="I9" s="13">
        <f t="shared" si="2"/>
        <v>17227</v>
      </c>
      <c r="J9" s="13">
        <f t="shared" si="2"/>
        <v>18515.465573551708</v>
      </c>
      <c r="K9" s="13">
        <f>SUM(K7:K8)</f>
        <v>20160.108976513562</v>
      </c>
      <c r="L9" s="13">
        <f t="shared" si="2"/>
        <v>21171.958777991207</v>
      </c>
      <c r="M9" s="13">
        <f t="shared" si="2"/>
        <v>22075.75883739016</v>
      </c>
      <c r="N9" s="13">
        <f t="shared" si="2"/>
        <v>23033.043404125383</v>
      </c>
      <c r="O9" s="13">
        <f t="shared" si="2"/>
        <v>24308.995828343126</v>
      </c>
    </row>
    <row r="10" spans="2:16384" ht="15" x14ac:dyDescent="0.25">
      <c r="B10" s="4"/>
      <c r="C10" s="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2:16384" x14ac:dyDescent="0.2">
      <c r="B11" s="1" t="s">
        <v>45</v>
      </c>
      <c r="D11" s="3">
        <v>-9636</v>
      </c>
      <c r="E11" s="3">
        <v>-10234</v>
      </c>
      <c r="F11" s="3">
        <v>-10061</v>
      </c>
      <c r="G11" s="3">
        <v>-11408</v>
      </c>
      <c r="H11" s="3">
        <v>-12257</v>
      </c>
      <c r="I11" s="3">
        <v>-13924</v>
      </c>
      <c r="J11" s="3">
        <v>-14841</v>
      </c>
      <c r="K11" s="14">
        <f>-K7*K41</f>
        <v>-16259.85681547831</v>
      </c>
      <c r="L11" s="14">
        <f>-L7*L41</f>
        <v>-17056.583187614509</v>
      </c>
      <c r="M11" s="14">
        <f>-M7*M41</f>
        <v>-17716.921288286139</v>
      </c>
      <c r="N11" s="14">
        <f>-N7*N41</f>
        <v>-18588.41998710687</v>
      </c>
      <c r="O11" s="14">
        <f>-O7*O41</f>
        <v>-19594.359692938291</v>
      </c>
    </row>
    <row r="12" spans="2:16384" ht="15" x14ac:dyDescent="0.25">
      <c r="B12" s="12" t="s">
        <v>46</v>
      </c>
      <c r="C12" s="4"/>
      <c r="D12" s="13">
        <f>SUM(D9:D11)</f>
        <v>2241</v>
      </c>
      <c r="E12" s="13">
        <f t="shared" ref="E12:O12" si="3">SUM(E9:E11)</f>
        <v>2266</v>
      </c>
      <c r="F12" s="13">
        <f t="shared" si="3"/>
        <v>2499</v>
      </c>
      <c r="G12" s="13">
        <f t="shared" si="3"/>
        <v>2756</v>
      </c>
      <c r="H12" s="13">
        <f t="shared" si="3"/>
        <v>2948</v>
      </c>
      <c r="I12" s="13">
        <f t="shared" si="3"/>
        <v>3303</v>
      </c>
      <c r="J12" s="13">
        <f t="shared" si="3"/>
        <v>3674.4655735517081</v>
      </c>
      <c r="K12" s="13">
        <f t="shared" si="3"/>
        <v>3900.2521610352524</v>
      </c>
      <c r="L12" s="13">
        <f t="shared" si="3"/>
        <v>4115.3755903766978</v>
      </c>
      <c r="M12" s="13">
        <f t="shared" si="3"/>
        <v>4358.8375491040206</v>
      </c>
      <c r="N12" s="13">
        <f t="shared" si="3"/>
        <v>4444.6234170185126</v>
      </c>
      <c r="O12" s="13">
        <f t="shared" si="3"/>
        <v>4714.6361354048349</v>
      </c>
      <c r="Q12" s="14"/>
      <c r="R12" s="14"/>
      <c r="S12" s="14"/>
      <c r="T12" s="14"/>
      <c r="U12" s="14"/>
      <c r="V12" s="14"/>
    </row>
    <row r="13" spans="2:16384" x14ac:dyDescent="0.2">
      <c r="D13" s="2"/>
      <c r="E13" s="2"/>
      <c r="F13" s="2"/>
      <c r="G13" s="2"/>
      <c r="H13" s="2"/>
      <c r="I13" s="2"/>
    </row>
    <row r="14" spans="2:16384" x14ac:dyDescent="0.2">
      <c r="B14" s="1" t="s">
        <v>47</v>
      </c>
      <c r="D14" s="3">
        <v>318</v>
      </c>
      <c r="E14" s="3">
        <v>339</v>
      </c>
      <c r="F14" s="3">
        <v>611</v>
      </c>
      <c r="G14" s="3">
        <v>395</v>
      </c>
      <c r="H14" s="3">
        <v>412</v>
      </c>
      <c r="I14" s="3">
        <v>479</v>
      </c>
      <c r="J14" s="3">
        <v>427</v>
      </c>
      <c r="K14" s="37">
        <f>K7*K42</f>
        <v>598.57517512154777</v>
      </c>
      <c r="L14" s="37">
        <f>L7*L42</f>
        <v>637.16878402420946</v>
      </c>
      <c r="M14" s="37">
        <f>M7*M42</f>
        <v>672.61759453839545</v>
      </c>
      <c r="N14" s="37">
        <f>N7*N42</f>
        <v>646.81456108931593</v>
      </c>
      <c r="O14" s="37">
        <f>O7*O42</f>
        <v>682.30671450188515</v>
      </c>
    </row>
    <row r="15" spans="2:16384" x14ac:dyDescent="0.2">
      <c r="D15" s="6"/>
      <c r="E15" s="6"/>
      <c r="F15" s="6"/>
      <c r="G15" s="6"/>
      <c r="H15" s="6"/>
      <c r="I15" s="6"/>
    </row>
    <row r="16" spans="2:16384" ht="15" x14ac:dyDescent="0.25">
      <c r="B16" s="4" t="s">
        <v>48</v>
      </c>
      <c r="C16" s="4"/>
      <c r="D16" s="5">
        <f t="shared" ref="D16:H16" si="4">D12+D14</f>
        <v>2559</v>
      </c>
      <c r="E16" s="5">
        <f t="shared" si="4"/>
        <v>2605</v>
      </c>
      <c r="F16" s="5">
        <f t="shared" si="4"/>
        <v>3110</v>
      </c>
      <c r="G16" s="5">
        <f t="shared" si="4"/>
        <v>3151</v>
      </c>
      <c r="H16" s="5">
        <f t="shared" si="4"/>
        <v>3360</v>
      </c>
      <c r="I16" s="5">
        <f>I12+I14</f>
        <v>3782</v>
      </c>
      <c r="J16" s="5">
        <f>J12+J14</f>
        <v>4101.4655735517081</v>
      </c>
      <c r="K16" s="5">
        <f>K12+K14</f>
        <v>4498.8273361567999</v>
      </c>
      <c r="L16" s="5">
        <f t="shared" ref="L16:O16" si="5">L12+L14</f>
        <v>4752.5443744009071</v>
      </c>
      <c r="M16" s="5">
        <f t="shared" si="5"/>
        <v>5031.4551436424163</v>
      </c>
      <c r="N16" s="5">
        <f t="shared" si="5"/>
        <v>5091.4379781078287</v>
      </c>
      <c r="O16" s="5">
        <f t="shared" si="5"/>
        <v>5396.9428499067199</v>
      </c>
    </row>
    <row r="17" spans="1:15" x14ac:dyDescent="0.2">
      <c r="D17" s="9"/>
      <c r="E17" s="9"/>
      <c r="F17" s="9"/>
      <c r="G17" s="9"/>
      <c r="H17" s="9"/>
      <c r="I17" s="9"/>
      <c r="J17" s="14"/>
      <c r="K17" s="14"/>
      <c r="L17" s="14"/>
      <c r="M17" s="14"/>
      <c r="N17" s="14"/>
      <c r="O17" s="14"/>
    </row>
    <row r="18" spans="1:15" x14ac:dyDescent="0.2">
      <c r="B18" s="1" t="s">
        <v>49</v>
      </c>
      <c r="D18" s="6">
        <f>-(D19+D20)</f>
        <v>-660</v>
      </c>
      <c r="E18" s="6">
        <f t="shared" ref="E18:H18" si="6">-(E19+E20)</f>
        <v>-675</v>
      </c>
      <c r="F18" s="6">
        <f t="shared" si="6"/>
        <v>-720</v>
      </c>
      <c r="G18" s="6">
        <f t="shared" si="6"/>
        <v>-767</v>
      </c>
      <c r="H18" s="6">
        <f t="shared" si="6"/>
        <v>-787</v>
      </c>
      <c r="I18" s="6">
        <f>-(I19+I20)</f>
        <v>-1097</v>
      </c>
      <c r="J18" s="6">
        <f>-(J19+J20)</f>
        <v>-1176</v>
      </c>
      <c r="K18" s="6">
        <f>-(K19+K20)</f>
        <v>-1150.4882221067867</v>
      </c>
      <c r="L18" s="6">
        <f>-(L19+L20)</f>
        <v>-1212.3618281863542</v>
      </c>
      <c r="M18" s="6">
        <f t="shared" ref="M18:O18" si="7">-(M19+M20)</f>
        <v>-1272.3489546386913</v>
      </c>
      <c r="N18" s="6">
        <f t="shared" si="7"/>
        <v>-1335.5879329944712</v>
      </c>
      <c r="O18" s="6">
        <f t="shared" si="7"/>
        <v>-1421.0010913706683</v>
      </c>
    </row>
    <row r="19" spans="1:15" x14ac:dyDescent="0.2">
      <c r="B19" s="7" t="s">
        <v>50</v>
      </c>
      <c r="D19" s="3">
        <v>511</v>
      </c>
      <c r="E19" s="3">
        <v>543</v>
      </c>
      <c r="F19" s="3">
        <v>513</v>
      </c>
      <c r="G19" s="3">
        <v>549</v>
      </c>
      <c r="H19" s="3">
        <v>564</v>
      </c>
      <c r="I19" s="3">
        <v>663</v>
      </c>
      <c r="J19" s="3">
        <v>745</v>
      </c>
      <c r="K19" s="14">
        <f>K$7*K43</f>
        <v>810.56054369499464</v>
      </c>
      <c r="L19" s="14">
        <f t="shared" ref="L19:O19" si="8">L$7*L43</f>
        <v>842.54975411202588</v>
      </c>
      <c r="M19" s="14">
        <f t="shared" si="8"/>
        <v>865.84044018887403</v>
      </c>
      <c r="N19" s="14">
        <f t="shared" si="8"/>
        <v>902.95196388418344</v>
      </c>
      <c r="O19" s="14">
        <f t="shared" si="8"/>
        <v>953.10230445871207</v>
      </c>
    </row>
    <row r="20" spans="1:15" x14ac:dyDescent="0.2">
      <c r="B20" s="7" t="s">
        <v>51</v>
      </c>
      <c r="D20" s="3">
        <v>149</v>
      </c>
      <c r="E20" s="3">
        <v>132</v>
      </c>
      <c r="F20" s="3">
        <v>207</v>
      </c>
      <c r="G20" s="3">
        <v>218</v>
      </c>
      <c r="H20" s="3">
        <v>223</v>
      </c>
      <c r="I20" s="3">
        <v>434</v>
      </c>
      <c r="J20" s="3">
        <v>431</v>
      </c>
      <c r="K20" s="14">
        <f>K$7*K44</f>
        <v>339.9276784117921</v>
      </c>
      <c r="L20" s="14">
        <f t="shared" ref="L20:O20" si="9">L$7*L44</f>
        <v>369.81207407432817</v>
      </c>
      <c r="M20" s="14">
        <f>M$7*M44</f>
        <v>406.50851444981743</v>
      </c>
      <c r="N20" s="14">
        <f t="shared" si="9"/>
        <v>432.63596911028782</v>
      </c>
      <c r="O20" s="14">
        <f t="shared" si="9"/>
        <v>467.89878691195622</v>
      </c>
    </row>
    <row r="21" spans="1:15" ht="15" x14ac:dyDescent="0.25">
      <c r="B21" s="4" t="s">
        <v>52</v>
      </c>
      <c r="C21" s="4"/>
      <c r="D21" s="5">
        <f t="shared" ref="D21:H21" si="10">D16+D18</f>
        <v>1899</v>
      </c>
      <c r="E21" s="5">
        <f t="shared" si="10"/>
        <v>1930</v>
      </c>
      <c r="F21" s="5">
        <f t="shared" si="10"/>
        <v>2390</v>
      </c>
      <c r="G21" s="5">
        <f t="shared" si="10"/>
        <v>2384</v>
      </c>
      <c r="H21" s="5">
        <f t="shared" si="10"/>
        <v>2573</v>
      </c>
      <c r="I21" s="5">
        <f>I16+I18</f>
        <v>2685</v>
      </c>
      <c r="J21" s="5">
        <f>J16+J18</f>
        <v>2925.4655735517081</v>
      </c>
      <c r="K21" s="5">
        <f>K16+K18</f>
        <v>3348.3391140500134</v>
      </c>
      <c r="L21" s="5">
        <f t="shared" ref="L21:O21" si="11">L16+L18</f>
        <v>3540.182546214553</v>
      </c>
      <c r="M21" s="5">
        <f t="shared" si="11"/>
        <v>3759.1061890037249</v>
      </c>
      <c r="N21" s="5">
        <f t="shared" si="11"/>
        <v>3755.8500451133577</v>
      </c>
      <c r="O21" s="5">
        <f t="shared" si="11"/>
        <v>3975.9417585360516</v>
      </c>
    </row>
    <row r="22" spans="1:15" x14ac:dyDescent="0.2">
      <c r="D22" s="6"/>
      <c r="E22" s="6"/>
      <c r="F22" s="6"/>
      <c r="G22" s="6"/>
      <c r="H22" s="6"/>
      <c r="I22" s="6"/>
      <c r="J22" s="14"/>
      <c r="K22" s="14"/>
      <c r="L22" s="14"/>
      <c r="M22" s="14"/>
      <c r="N22" s="14"/>
      <c r="O22" s="14"/>
    </row>
    <row r="23" spans="1:15" x14ac:dyDescent="0.2">
      <c r="B23" s="1" t="s">
        <v>53</v>
      </c>
      <c r="D23" s="6">
        <f t="shared" ref="D23:I23" si="12">SUM(D24:D25)</f>
        <v>-273</v>
      </c>
      <c r="E23" s="6">
        <f t="shared" si="12"/>
        <v>-334</v>
      </c>
      <c r="F23" s="6">
        <f t="shared" si="12"/>
        <v>-279</v>
      </c>
      <c r="G23" s="6">
        <f t="shared" si="12"/>
        <v>-395</v>
      </c>
      <c r="H23" s="6">
        <f t="shared" si="12"/>
        <v>-247</v>
      </c>
      <c r="I23" s="6">
        <f t="shared" si="12"/>
        <v>-353</v>
      </c>
      <c r="J23" s="6">
        <f>SUM(J24:J25)</f>
        <v>-353</v>
      </c>
      <c r="K23" s="6">
        <f t="shared" ref="K23:O23" si="13">SUM(K24:K25)</f>
        <v>-447.68274465585597</v>
      </c>
      <c r="L23" s="6">
        <f t="shared" si="13"/>
        <v>-467.6790686619122</v>
      </c>
      <c r="M23" s="6">
        <f t="shared" si="13"/>
        <v>-472.49235444996697</v>
      </c>
      <c r="N23" s="6">
        <f t="shared" si="13"/>
        <v>-492.98748632917699</v>
      </c>
      <c r="O23" s="6">
        <f t="shared" si="13"/>
        <v>-496.61068295989543</v>
      </c>
    </row>
    <row r="24" spans="1:15" x14ac:dyDescent="0.2">
      <c r="B24" s="7" t="s">
        <v>54</v>
      </c>
      <c r="D24" s="3">
        <v>27</v>
      </c>
      <c r="E24" s="3">
        <v>17</v>
      </c>
      <c r="F24" s="3">
        <v>32</v>
      </c>
      <c r="G24" s="3">
        <v>47</v>
      </c>
      <c r="H24" s="3">
        <v>172</v>
      </c>
      <c r="I24" s="3">
        <v>135</v>
      </c>
      <c r="J24" s="3">
        <v>135</v>
      </c>
      <c r="K24" s="14">
        <f>K$7*K45</f>
        <v>103.69915649745523</v>
      </c>
      <c r="L24" s="14">
        <f t="shared" ref="L24:O24" si="14">L$7*L45</f>
        <v>117.47002999229575</v>
      </c>
      <c r="M24" s="14">
        <f t="shared" si="14"/>
        <v>135.33323395622205</v>
      </c>
      <c r="N24" s="14">
        <f t="shared" si="14"/>
        <v>153.52258720956462</v>
      </c>
      <c r="O24" s="14">
        <f t="shared" si="14"/>
        <v>173.60690612639308</v>
      </c>
    </row>
    <row r="25" spans="1:15" x14ac:dyDescent="0.2">
      <c r="B25" s="7" t="s">
        <v>55</v>
      </c>
      <c r="D25" s="3">
        <v>-300</v>
      </c>
      <c r="E25" s="3">
        <v>-351</v>
      </c>
      <c r="F25" s="3">
        <v>-311</v>
      </c>
      <c r="G25" s="3">
        <v>-442</v>
      </c>
      <c r="H25" s="3">
        <v>-419</v>
      </c>
      <c r="I25" s="3">
        <v>-488</v>
      </c>
      <c r="J25" s="3">
        <v>-488</v>
      </c>
      <c r="K25" s="14">
        <f>-K$7*K46</f>
        <v>-551.38190115331122</v>
      </c>
      <c r="L25" s="14">
        <f t="shared" ref="L25:O25" si="15">-L$7*L46</f>
        <v>-585.14909865420793</v>
      </c>
      <c r="M25" s="14">
        <f t="shared" si="15"/>
        <v>-607.82558840618901</v>
      </c>
      <c r="N25" s="14">
        <f t="shared" si="15"/>
        <v>-646.51007353874161</v>
      </c>
      <c r="O25" s="14">
        <f t="shared" si="15"/>
        <v>-670.21758908628851</v>
      </c>
    </row>
    <row r="26" spans="1:15" ht="15" x14ac:dyDescent="0.25">
      <c r="B26" s="4" t="s">
        <v>56</v>
      </c>
      <c r="C26" s="4"/>
      <c r="D26" s="5">
        <f t="shared" ref="D26:O26" si="16">D21+D23</f>
        <v>1626</v>
      </c>
      <c r="E26" s="5">
        <f t="shared" si="16"/>
        <v>1596</v>
      </c>
      <c r="F26" s="5">
        <f t="shared" si="16"/>
        <v>2111</v>
      </c>
      <c r="G26" s="5">
        <f t="shared" si="16"/>
        <v>1989</v>
      </c>
      <c r="H26" s="5">
        <f t="shared" si="16"/>
        <v>2326</v>
      </c>
      <c r="I26" s="5">
        <f t="shared" si="16"/>
        <v>2332</v>
      </c>
      <c r="J26" s="5">
        <f t="shared" si="16"/>
        <v>2572.4655735517081</v>
      </c>
      <c r="K26" s="5">
        <f>K21+K23</f>
        <v>2900.6563693941575</v>
      </c>
      <c r="L26" s="5">
        <f t="shared" si="16"/>
        <v>3072.503477552641</v>
      </c>
      <c r="M26" s="5">
        <f t="shared" si="16"/>
        <v>3286.6138345537579</v>
      </c>
      <c r="N26" s="5">
        <f t="shared" si="16"/>
        <v>3262.8625587841807</v>
      </c>
      <c r="O26" s="5">
        <f t="shared" si="16"/>
        <v>3479.3310755761563</v>
      </c>
    </row>
    <row r="27" spans="1:15" x14ac:dyDescent="0.2">
      <c r="D27" s="6"/>
      <c r="E27" s="6"/>
      <c r="F27" s="6"/>
      <c r="G27" s="6"/>
      <c r="H27" s="6"/>
      <c r="I27" s="6"/>
      <c r="J27" s="14"/>
      <c r="K27" s="14"/>
      <c r="L27" s="14"/>
      <c r="M27" s="14"/>
      <c r="N27" s="14"/>
      <c r="O27" s="14"/>
    </row>
    <row r="28" spans="1:15" x14ac:dyDescent="0.2">
      <c r="B28" s="1" t="s">
        <v>57</v>
      </c>
      <c r="D28" s="3">
        <v>-94</v>
      </c>
      <c r="E28" s="3">
        <v>-225</v>
      </c>
      <c r="F28" s="3">
        <v>-198</v>
      </c>
      <c r="G28" s="3">
        <v>-315</v>
      </c>
      <c r="H28" s="3">
        <v>-386</v>
      </c>
      <c r="I28" s="3">
        <v>-291</v>
      </c>
      <c r="J28" s="3">
        <v>-421</v>
      </c>
      <c r="K28" s="14">
        <f>-K29*K26</f>
        <v>-580.13127387883151</v>
      </c>
      <c r="L28" s="14">
        <f t="shared" ref="L28:O28" si="17">-L29*L26</f>
        <v>-614.5006955105282</v>
      </c>
      <c r="M28" s="14">
        <f t="shared" si="17"/>
        <v>-657.32276691075162</v>
      </c>
      <c r="N28" s="14">
        <f t="shared" si="17"/>
        <v>-652.57251175683621</v>
      </c>
      <c r="O28" s="14">
        <f t="shared" si="17"/>
        <v>-695.86621511523128</v>
      </c>
    </row>
    <row r="29" spans="1:15" x14ac:dyDescent="0.2">
      <c r="B29" s="8" t="s">
        <v>58</v>
      </c>
      <c r="D29" s="38">
        <f>-D28/D26</f>
        <v>5.7810578105781059E-2</v>
      </c>
      <c r="E29" s="38">
        <f>-E28/E26</f>
        <v>0.14097744360902256</v>
      </c>
      <c r="F29" s="38">
        <f t="shared" ref="F29:H29" si="18">-F28/F26</f>
        <v>9.3794410232117487E-2</v>
      </c>
      <c r="G29" s="38">
        <f t="shared" si="18"/>
        <v>0.15837104072398189</v>
      </c>
      <c r="H29" s="38">
        <f t="shared" si="18"/>
        <v>0.16595012897678418</v>
      </c>
      <c r="I29" s="38">
        <f>-I28/I26</f>
        <v>0.12478559176672384</v>
      </c>
      <c r="J29" s="38">
        <f>-J28/J26</f>
        <v>0.163656223169098</v>
      </c>
      <c r="K29" s="38">
        <v>0.2</v>
      </c>
      <c r="L29" s="38">
        <v>0.2</v>
      </c>
      <c r="M29" s="38">
        <v>0.2</v>
      </c>
      <c r="N29" s="38">
        <v>0.2</v>
      </c>
      <c r="O29" s="38">
        <v>0.2</v>
      </c>
    </row>
    <row r="30" spans="1:15" s="4" customFormat="1" ht="15" x14ac:dyDescent="0.25">
      <c r="A30" s="1"/>
      <c r="B30" s="4" t="s">
        <v>59</v>
      </c>
      <c r="D30" s="5">
        <f t="shared" ref="D30:H30" si="19">D26+D28</f>
        <v>1532</v>
      </c>
      <c r="E30" s="5">
        <f t="shared" si="19"/>
        <v>1371</v>
      </c>
      <c r="F30" s="5">
        <f t="shared" si="19"/>
        <v>1913</v>
      </c>
      <c r="G30" s="5">
        <f t="shared" si="19"/>
        <v>1674</v>
      </c>
      <c r="H30" s="5">
        <f t="shared" si="19"/>
        <v>1940</v>
      </c>
      <c r="I30" s="5">
        <f>I26+I28</f>
        <v>2041</v>
      </c>
      <c r="J30" s="5">
        <f>J26+J28</f>
        <v>2151.4655735517081</v>
      </c>
      <c r="K30" s="5">
        <f t="shared" ref="K30:O30" si="20">K26+K28</f>
        <v>2320.525095515326</v>
      </c>
      <c r="L30" s="5">
        <f t="shared" si="20"/>
        <v>2458.0027820421128</v>
      </c>
      <c r="M30" s="5">
        <f t="shared" si="20"/>
        <v>2629.2910676430065</v>
      </c>
      <c r="N30" s="5">
        <f t="shared" si="20"/>
        <v>2610.2900470273444</v>
      </c>
      <c r="O30" s="5">
        <f t="shared" si="20"/>
        <v>2783.4648604609251</v>
      </c>
    </row>
    <row r="31" spans="1:15" x14ac:dyDescent="0.2">
      <c r="D31" s="6"/>
      <c r="E31" s="6"/>
      <c r="F31" s="6"/>
      <c r="G31" s="6"/>
      <c r="H31" s="6"/>
      <c r="I31" s="6"/>
      <c r="J31" s="14"/>
      <c r="K31" s="14"/>
      <c r="L31" s="14"/>
      <c r="M31" s="14"/>
      <c r="N31" s="14"/>
      <c r="O31" s="14"/>
    </row>
    <row r="32" spans="1:15" x14ac:dyDescent="0.2">
      <c r="B32" s="1" t="s">
        <v>60</v>
      </c>
      <c r="D32" s="3">
        <v>-56</v>
      </c>
      <c r="E32" s="3">
        <v>-72</v>
      </c>
      <c r="F32" s="3">
        <v>-154</v>
      </c>
      <c r="G32" s="3">
        <v>-83</v>
      </c>
      <c r="H32" s="3">
        <v>-83</v>
      </c>
      <c r="I32" s="3">
        <v>-85</v>
      </c>
      <c r="J32" s="3">
        <v>-89</v>
      </c>
      <c r="K32" s="3">
        <v>-89</v>
      </c>
      <c r="L32" s="3">
        <v>-89</v>
      </c>
      <c r="M32" s="3">
        <v>-89</v>
      </c>
      <c r="N32" s="3">
        <v>-89</v>
      </c>
      <c r="O32" s="3">
        <v>-89</v>
      </c>
    </row>
    <row r="33" spans="2:15" x14ac:dyDescent="0.2">
      <c r="B33" s="1" t="s">
        <v>61</v>
      </c>
      <c r="D33" s="6">
        <f>D30+D32</f>
        <v>1476</v>
      </c>
      <c r="E33" s="6">
        <f t="shared" ref="E33:I33" si="21">E30+E32</f>
        <v>1299</v>
      </c>
      <c r="F33" s="6">
        <f t="shared" si="21"/>
        <v>1759</v>
      </c>
      <c r="G33" s="6">
        <f t="shared" si="21"/>
        <v>1591</v>
      </c>
      <c r="H33" s="6">
        <f t="shared" si="21"/>
        <v>1857</v>
      </c>
      <c r="I33" s="6">
        <f t="shared" si="21"/>
        <v>1956</v>
      </c>
      <c r="J33" s="6">
        <f>J30+J32</f>
        <v>2062.4655735517081</v>
      </c>
      <c r="K33" s="6">
        <f t="shared" ref="K33:O33" si="22">K30+K32</f>
        <v>2231.525095515326</v>
      </c>
      <c r="L33" s="6">
        <f t="shared" si="22"/>
        <v>2369.0027820421128</v>
      </c>
      <c r="M33" s="6">
        <f t="shared" si="22"/>
        <v>2540.2910676430065</v>
      </c>
      <c r="N33" s="6">
        <f t="shared" si="22"/>
        <v>2521.2900470273444</v>
      </c>
      <c r="O33" s="6">
        <f t="shared" si="22"/>
        <v>2694.4648604609251</v>
      </c>
    </row>
    <row r="34" spans="2:15" x14ac:dyDescent="0.2">
      <c r="D34" s="6"/>
      <c r="E34" s="6"/>
      <c r="F34" s="6"/>
      <c r="G34" s="6"/>
      <c r="H34" s="6"/>
      <c r="I34" s="6"/>
      <c r="J34" s="14"/>
      <c r="K34" s="14"/>
      <c r="L34" s="14"/>
      <c r="M34" s="14"/>
      <c r="N34" s="14"/>
      <c r="O34" s="14"/>
    </row>
    <row r="35" spans="2:15" x14ac:dyDescent="0.2">
      <c r="B35" s="1" t="s">
        <v>62</v>
      </c>
      <c r="D35" s="6">
        <v>3205.1</v>
      </c>
      <c r="E35" s="6">
        <v>3218</v>
      </c>
      <c r="F35" s="6">
        <v>3167.2</v>
      </c>
      <c r="G35" s="6">
        <v>3076.9</v>
      </c>
      <c r="H35" s="6">
        <v>3035</v>
      </c>
      <c r="I35" s="6">
        <v>3013</v>
      </c>
      <c r="J35" s="14">
        <v>2997</v>
      </c>
      <c r="K35" s="14">
        <f>J35*(1+K48)</f>
        <v>2963.8087028714785</v>
      </c>
      <c r="L35" s="14">
        <f t="shared" ref="L35:O35" si="23">K35*(1+L48)</f>
        <v>2923.5262355585883</v>
      </c>
      <c r="M35" s="14">
        <f t="shared" si="23"/>
        <v>2884.8606667567483</v>
      </c>
      <c r="N35" s="14">
        <f t="shared" si="23"/>
        <v>2854.0558149673307</v>
      </c>
      <c r="O35" s="14">
        <f t="shared" si="23"/>
        <v>2824.9781477369229</v>
      </c>
    </row>
    <row r="36" spans="2:15" x14ac:dyDescent="0.2">
      <c r="B36" s="1" t="s">
        <v>63</v>
      </c>
      <c r="D36" s="17">
        <f>D33/D35</f>
        <v>0.46051605254126238</v>
      </c>
      <c r="E36" s="17">
        <f t="shared" ref="E36:H36" si="24">E33/E35</f>
        <v>0.40366687383467992</v>
      </c>
      <c r="F36" s="17">
        <f t="shared" si="24"/>
        <v>0.55538014650164191</v>
      </c>
      <c r="G36" s="17">
        <f t="shared" si="24"/>
        <v>0.5170788780915857</v>
      </c>
      <c r="H36" s="17">
        <f t="shared" si="24"/>
        <v>0.61186161449752885</v>
      </c>
      <c r="I36" s="17">
        <f>I33/I35</f>
        <v>0.64918685695320277</v>
      </c>
      <c r="J36" s="17">
        <f>J33/J35</f>
        <v>0.68817670121845453</v>
      </c>
      <c r="K36" s="17">
        <f t="shared" ref="K36:O36" si="25">K33/K35</f>
        <v>0.75292480697331055</v>
      </c>
      <c r="L36" s="17">
        <f t="shared" si="25"/>
        <v>0.8103237635524333</v>
      </c>
      <c r="M36" s="17">
        <f t="shared" si="25"/>
        <v>0.88055936181447614</v>
      </c>
      <c r="N36" s="17">
        <f t="shared" si="25"/>
        <v>0.88340600551857273</v>
      </c>
      <c r="O36" s="17">
        <f t="shared" si="25"/>
        <v>0.95380024890438486</v>
      </c>
    </row>
    <row r="37" spans="2:15" x14ac:dyDescent="0.2">
      <c r="J37" s="14"/>
      <c r="K37" s="14"/>
      <c r="L37" s="14"/>
      <c r="M37" s="14"/>
      <c r="N37" s="14"/>
      <c r="O37" s="14"/>
    </row>
    <row r="38" spans="2:15" ht="15" x14ac:dyDescent="0.25">
      <c r="B38" s="68" t="s">
        <v>64</v>
      </c>
    </row>
    <row r="39" spans="2:15" ht="3.95" customHeight="1" x14ac:dyDescent="0.25">
      <c r="B39"/>
    </row>
    <row r="40" spans="2:15" x14ac:dyDescent="0.2">
      <c r="B40" s="1" t="s">
        <v>65</v>
      </c>
      <c r="D40" s="19">
        <f>-D8/D7</f>
        <v>0.35116088500409726</v>
      </c>
      <c r="E40" s="19">
        <f t="shared" ref="E40:I40" si="26">-E8/E7</f>
        <v>0.35155885251854541</v>
      </c>
      <c r="F40" s="19">
        <f t="shared" si="26"/>
        <v>0.35659033860970235</v>
      </c>
      <c r="G40" s="19">
        <f t="shared" si="26"/>
        <v>0.33370966224480197</v>
      </c>
      <c r="H40" s="19">
        <f t="shared" si="26"/>
        <v>0.34114741312072105</v>
      </c>
      <c r="I40" s="19">
        <f t="shared" si="26"/>
        <v>0.34527972027972026</v>
      </c>
      <c r="J40" s="19">
        <f>AVERAGE(D40:I40)</f>
        <v>0.34657447862959806</v>
      </c>
      <c r="K40" s="19">
        <f t="shared" ref="K40:O40" si="27">AVERAGE(E40:J40)</f>
        <v>0.34581007756718152</v>
      </c>
      <c r="L40" s="19">
        <f t="shared" si="27"/>
        <v>0.34485194840862093</v>
      </c>
      <c r="M40" s="19">
        <f t="shared" si="27"/>
        <v>0.34289555004177391</v>
      </c>
      <c r="N40" s="19">
        <f t="shared" si="27"/>
        <v>0.34442653134126933</v>
      </c>
      <c r="O40" s="19">
        <f t="shared" si="27"/>
        <v>0.344973051044694</v>
      </c>
    </row>
    <row r="41" spans="2:15" x14ac:dyDescent="0.2">
      <c r="B41" s="1" t="s">
        <v>66</v>
      </c>
      <c r="D41" s="19">
        <f t="shared" ref="D41:J41" si="28">-D11/D7</f>
        <v>0.52641354821087138</v>
      </c>
      <c r="E41" s="19">
        <f t="shared" si="28"/>
        <v>0.53089173626601649</v>
      </c>
      <c r="F41" s="19">
        <f t="shared" si="28"/>
        <v>0.5153936786025306</v>
      </c>
      <c r="G41" s="19">
        <f t="shared" si="28"/>
        <v>0.53664502775425726</v>
      </c>
      <c r="H41" s="19">
        <f t="shared" si="28"/>
        <v>0.53111188144553256</v>
      </c>
      <c r="I41" s="19">
        <f t="shared" si="28"/>
        <v>0.52918820310124659</v>
      </c>
      <c r="J41" s="19">
        <f t="shared" si="28"/>
        <v>0.5237507058159232</v>
      </c>
      <c r="K41" s="20">
        <f>AVERAGE(D41:J41)</f>
        <v>0.52762782588519686</v>
      </c>
      <c r="L41" s="20">
        <f t="shared" ref="L41:O44" si="29">AVERAGE(E41:K41)</f>
        <v>0.52780129412438626</v>
      </c>
      <c r="M41" s="20">
        <f t="shared" si="29"/>
        <v>0.52735980238986768</v>
      </c>
      <c r="N41" s="20">
        <f t="shared" si="29"/>
        <v>0.52906924864520144</v>
      </c>
      <c r="O41" s="20">
        <f t="shared" si="29"/>
        <v>0.527986994486765</v>
      </c>
    </row>
    <row r="42" spans="2:15" x14ac:dyDescent="0.2">
      <c r="B42" s="1" t="s">
        <v>67</v>
      </c>
      <c r="D42" s="19">
        <f t="shared" ref="D42:J42" si="30">D14/D7</f>
        <v>1.7372302649549302E-2</v>
      </c>
      <c r="E42" s="19">
        <f t="shared" si="30"/>
        <v>1.7585723919697049E-2</v>
      </c>
      <c r="F42" s="19">
        <f t="shared" si="30"/>
        <v>3.1299626043747759E-2</v>
      </c>
      <c r="G42" s="19">
        <f t="shared" si="30"/>
        <v>1.8581240003763291E-2</v>
      </c>
      <c r="H42" s="19">
        <f t="shared" si="30"/>
        <v>1.7852500216656558E-2</v>
      </c>
      <c r="I42" s="19">
        <f t="shared" si="30"/>
        <v>1.8204621465491032E-2</v>
      </c>
      <c r="J42" s="19">
        <f t="shared" si="30"/>
        <v>1.5069169960474308E-2</v>
      </c>
      <c r="K42" s="20">
        <f t="shared" ref="K42:K46" si="31">AVERAGE(D42:J42)</f>
        <v>1.9423597751339897E-2</v>
      </c>
      <c r="L42" s="20">
        <f t="shared" si="29"/>
        <v>1.9716639908738558E-2</v>
      </c>
      <c r="M42" s="20">
        <f t="shared" si="29"/>
        <v>2.0021056478601629E-2</v>
      </c>
      <c r="N42" s="20">
        <f t="shared" si="29"/>
        <v>1.8409832255009327E-2</v>
      </c>
      <c r="O42" s="20">
        <f t="shared" si="29"/>
        <v>1.8385345433758755E-2</v>
      </c>
    </row>
    <row r="43" spans="2:15" x14ac:dyDescent="0.2">
      <c r="B43" s="1" t="s">
        <v>68</v>
      </c>
      <c r="D43" s="19">
        <f>D19/D$7</f>
        <v>2.791586998087954E-2</v>
      </c>
      <c r="E43" s="19">
        <f t="shared" ref="E43:I43" si="32">E19/E$7</f>
        <v>2.8168283446594389E-2</v>
      </c>
      <c r="F43" s="19">
        <f t="shared" si="32"/>
        <v>2.6279391424619641E-2</v>
      </c>
      <c r="G43" s="19">
        <f t="shared" si="32"/>
        <v>2.5825571549534292E-2</v>
      </c>
      <c r="H43" s="19">
        <f t="shared" si="32"/>
        <v>2.4438859519889073E-2</v>
      </c>
      <c r="I43" s="19">
        <f t="shared" si="32"/>
        <v>2.5197628458498024E-2</v>
      </c>
      <c r="J43" s="19">
        <f>J19/J$7</f>
        <v>2.6291643139469228E-2</v>
      </c>
      <c r="K43" s="20">
        <f t="shared" si="31"/>
        <v>2.6302463931354884E-2</v>
      </c>
      <c r="L43" s="20">
        <f t="shared" si="29"/>
        <v>2.6071977352851359E-2</v>
      </c>
      <c r="M43" s="20">
        <f t="shared" si="29"/>
        <v>2.5772505053745211E-2</v>
      </c>
      <c r="N43" s="20">
        <f t="shared" si="29"/>
        <v>2.5700092715048868E-2</v>
      </c>
      <c r="O43" s="20">
        <f t="shared" si="29"/>
        <v>2.5682167167265235E-2</v>
      </c>
    </row>
    <row r="44" spans="2:15" x14ac:dyDescent="0.2">
      <c r="B44" s="1" t="s">
        <v>69</v>
      </c>
      <c r="D44" s="19">
        <f>D20/D$7</f>
        <v>8.1398524993171271E-3</v>
      </c>
      <c r="E44" s="19">
        <f t="shared" ref="E44:I44" si="33">E20/E$7</f>
        <v>6.8475385174041606E-3</v>
      </c>
      <c r="F44" s="19">
        <f>F20/F$7</f>
        <v>1.0603964960811434E-2</v>
      </c>
      <c r="G44" s="19">
        <f t="shared" si="33"/>
        <v>1.0254962837519992E-2</v>
      </c>
      <c r="H44" s="19">
        <f t="shared" si="33"/>
        <v>9.6628823988213885E-3</v>
      </c>
      <c r="I44" s="19">
        <f t="shared" si="33"/>
        <v>1.6494375190027364E-2</v>
      </c>
      <c r="J44" s="19">
        <f>J20/J$7</f>
        <v>1.5210333145115754E-2</v>
      </c>
      <c r="K44" s="20">
        <f t="shared" si="31"/>
        <v>1.1030558507002462E-2</v>
      </c>
      <c r="L44" s="20">
        <f t="shared" si="29"/>
        <v>1.1443516508100366E-2</v>
      </c>
      <c r="M44" s="20">
        <f t="shared" si="29"/>
        <v>1.2100084792485536E-2</v>
      </c>
      <c r="N44" s="20">
        <f t="shared" si="29"/>
        <v>1.2313816197010408E-2</v>
      </c>
      <c r="O44" s="20">
        <f t="shared" si="29"/>
        <v>1.260793810550904E-2</v>
      </c>
    </row>
    <row r="45" spans="2:15" x14ac:dyDescent="0.2">
      <c r="B45" s="1" t="s">
        <v>70</v>
      </c>
      <c r="D45" s="19">
        <f>D24/D$7</f>
        <v>1.4750068287353183E-3</v>
      </c>
      <c r="E45" s="19">
        <f t="shared" ref="E45:J45" si="34">E24/E$7</f>
        <v>8.8187996057477827E-4</v>
      </c>
      <c r="F45" s="19">
        <f t="shared" si="34"/>
        <v>1.6392602837969367E-3</v>
      </c>
      <c r="G45" s="19">
        <f t="shared" si="34"/>
        <v>2.2109323548781634E-3</v>
      </c>
      <c r="H45" s="19">
        <f t="shared" si="34"/>
        <v>7.4529855273420577E-3</v>
      </c>
      <c r="I45" s="19">
        <f t="shared" si="34"/>
        <v>5.130738826391E-3</v>
      </c>
      <c r="J45" s="19">
        <f t="shared" si="34"/>
        <v>4.764257481648786E-3</v>
      </c>
      <c r="K45" s="20">
        <f>AVERAGE(D45:J45)</f>
        <v>3.3650087519095768E-3</v>
      </c>
      <c r="L45" s="20">
        <f t="shared" ref="L45:O46" si="35">AVERAGE(E45:K45)</f>
        <v>3.6350090266487568E-3</v>
      </c>
      <c r="M45" s="20">
        <f t="shared" si="35"/>
        <v>4.0283131789450397E-3</v>
      </c>
      <c r="N45" s="20">
        <f t="shared" si="35"/>
        <v>4.3696064496804828E-3</v>
      </c>
      <c r="O45" s="20">
        <f t="shared" si="35"/>
        <v>4.6779884632236713E-3</v>
      </c>
    </row>
    <row r="46" spans="2:15" x14ac:dyDescent="0.2">
      <c r="B46" s="1" t="s">
        <v>71</v>
      </c>
      <c r="D46" s="19">
        <f>-D25/D$7</f>
        <v>1.6388964763725759E-2</v>
      </c>
      <c r="E46" s="19">
        <f t="shared" ref="E46:J46" si="36">-E25/E$7</f>
        <v>1.8208227421279245E-2</v>
      </c>
      <c r="F46" s="19">
        <f t="shared" si="36"/>
        <v>1.5931560883151476E-2</v>
      </c>
      <c r="G46" s="19">
        <f t="shared" si="36"/>
        <v>2.0792172358641451E-2</v>
      </c>
      <c r="H46" s="19">
        <f t="shared" si="36"/>
        <v>1.8155819395094894E-2</v>
      </c>
      <c r="I46" s="19">
        <f t="shared" si="36"/>
        <v>1.8546670720583764E-2</v>
      </c>
      <c r="J46" s="19">
        <f t="shared" si="36"/>
        <v>1.7221908526256352E-2</v>
      </c>
      <c r="K46" s="20">
        <f t="shared" si="31"/>
        <v>1.7892189152676131E-2</v>
      </c>
      <c r="L46" s="20">
        <f>AVERAGE(E46:K46)</f>
        <v>1.8106935493954757E-2</v>
      </c>
      <c r="M46" s="20">
        <f>AVERAGE(F46:L46)</f>
        <v>1.8092465218622688E-2</v>
      </c>
      <c r="N46" s="20">
        <f t="shared" si="35"/>
        <v>1.8401165837975717E-2</v>
      </c>
      <c r="O46" s="20">
        <f t="shared" si="35"/>
        <v>1.8059593477880616E-2</v>
      </c>
    </row>
    <row r="48" spans="2:15" x14ac:dyDescent="0.2">
      <c r="B48" s="1" t="s">
        <v>72</v>
      </c>
      <c r="E48" s="19">
        <f>E35/D35-1</f>
        <v>4.0248354185516977E-3</v>
      </c>
      <c r="F48" s="19">
        <f t="shared" ref="F48:J48" si="37">F35/E35-1</f>
        <v>-1.5786202610317046E-2</v>
      </c>
      <c r="G48" s="19">
        <f t="shared" si="37"/>
        <v>-2.8510987623137085E-2</v>
      </c>
      <c r="H48" s="19">
        <f t="shared" si="37"/>
        <v>-1.3617602132016016E-2</v>
      </c>
      <c r="I48" s="19">
        <f t="shared" si="37"/>
        <v>-7.2487644151565389E-3</v>
      </c>
      <c r="J48" s="19">
        <f t="shared" si="37"/>
        <v>-5.310321938267526E-3</v>
      </c>
      <c r="K48" s="20">
        <f>AVERAGE(E48:J48)</f>
        <v>-1.1074840550057086E-2</v>
      </c>
      <c r="L48" s="20">
        <f t="shared" ref="L48:O48" si="38">AVERAGE(F48:K48)</f>
        <v>-1.3591453211491883E-2</v>
      </c>
      <c r="M48" s="20">
        <f t="shared" si="38"/>
        <v>-1.3225661645021022E-2</v>
      </c>
      <c r="N48" s="20">
        <f t="shared" si="38"/>
        <v>-1.0678107315335012E-2</v>
      </c>
      <c r="O48" s="20">
        <f t="shared" si="38"/>
        <v>-1.0188191512554845E-2</v>
      </c>
    </row>
    <row r="50" spans="2:15" x14ac:dyDescent="0.2">
      <c r="B50" s="1" t="s">
        <v>73</v>
      </c>
      <c r="D50" s="41">
        <v>360</v>
      </c>
      <c r="E50" s="41">
        <v>385</v>
      </c>
      <c r="F50" s="41">
        <v>366</v>
      </c>
      <c r="G50" s="41">
        <v>599</v>
      </c>
      <c r="H50" s="41">
        <v>826</v>
      </c>
      <c r="I50" s="41">
        <v>990</v>
      </c>
      <c r="J50" s="41">
        <v>920</v>
      </c>
      <c r="K50" s="11">
        <f>K51*J7</f>
        <v>779.03770275644615</v>
      </c>
      <c r="L50" s="11">
        <f>L51*K7</f>
        <v>881.69864443600886</v>
      </c>
      <c r="M50" s="11">
        <f t="shared" ref="M50:O50" si="39">M51*L7</f>
        <v>964.47994977512826</v>
      </c>
      <c r="N50" s="11">
        <f t="shared" si="39"/>
        <v>1055.9115665772842</v>
      </c>
      <c r="O50" s="11">
        <f t="shared" si="39"/>
        <v>1120.5974508837987</v>
      </c>
    </row>
    <row r="51" spans="2:15" x14ac:dyDescent="0.2">
      <c r="B51" s="1" t="s">
        <v>74</v>
      </c>
      <c r="D51" s="19">
        <f>D50/D$7</f>
        <v>1.966675771647091E-2</v>
      </c>
      <c r="E51" s="19">
        <f t="shared" ref="E51:J51" si="40">E50/E$7</f>
        <v>1.9971987342428801E-2</v>
      </c>
      <c r="F51" s="19">
        <f t="shared" si="40"/>
        <v>1.8749039495927464E-2</v>
      </c>
      <c r="G51" s="19">
        <f t="shared" si="40"/>
        <v>2.8177627246213189E-2</v>
      </c>
      <c r="H51" s="19">
        <f t="shared" si="40"/>
        <v>3.5791663055724066E-2</v>
      </c>
      <c r="I51" s="19">
        <f t="shared" si="40"/>
        <v>3.7625418060200672E-2</v>
      </c>
      <c r="J51" s="19">
        <f t="shared" si="40"/>
        <v>3.2467532467532464E-2</v>
      </c>
      <c r="K51" s="19">
        <f>AVERAGE(D51:J51)</f>
        <v>2.749286076921394E-2</v>
      </c>
      <c r="L51" s="19">
        <f t="shared" ref="L51:O51" si="41">AVERAGE(E51:K51)</f>
        <v>2.861087549103437E-2</v>
      </c>
      <c r="M51" s="19">
        <f t="shared" si="41"/>
        <v>2.9845002369406598E-2</v>
      </c>
      <c r="N51" s="19">
        <f t="shared" si="41"/>
        <v>3.1430139922760759E-2</v>
      </c>
      <c r="O51" s="19">
        <f t="shared" si="41"/>
        <v>3.1894784590838977E-2</v>
      </c>
    </row>
  </sheetData>
  <customSheetViews>
    <customSheetView guid="{533A6729-32A7-4C45-B8EF-31FE68A4042A}" scale="115">
      <pane ySplit="1" topLeftCell="A2" activePane="bottomLeft" state="frozen"/>
      <selection pane="bottomLeft" activeCell="L12" sqref="L12"/>
      <pageMargins left="0" right="0" top="0" bottom="0" header="0" footer="0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9693-D01E-4738-B69C-B9F771D852E0}">
  <dimension ref="B2:Q39"/>
  <sheetViews>
    <sheetView showGridLines="0" tabSelected="1" zoomScale="110" zoomScaleNormal="145" workbookViewId="0">
      <selection activeCell="G35" sqref="G35"/>
    </sheetView>
  </sheetViews>
  <sheetFormatPr defaultRowHeight="14.25" x14ac:dyDescent="0.2"/>
  <cols>
    <col min="1" max="1" width="4.7109375" style="1" customWidth="1"/>
    <col min="2" max="2" width="25.7109375" style="1" customWidth="1"/>
    <col min="3" max="3" width="9.28515625" style="1" bestFit="1" customWidth="1"/>
    <col min="4" max="4" width="17" style="1" bestFit="1" customWidth="1"/>
    <col min="5" max="5" width="16" style="1" bestFit="1" customWidth="1"/>
    <col min="6" max="6" width="10.7109375" style="1" customWidth="1"/>
    <col min="7" max="7" width="12" style="1" bestFit="1" customWidth="1"/>
    <col min="8" max="8" width="17.5703125" style="1" customWidth="1"/>
    <col min="9" max="9" width="9.28515625" style="1" bestFit="1" customWidth="1"/>
    <col min="10" max="10" width="9.140625" style="1"/>
    <col min="11" max="11" width="23.5703125" style="1" bestFit="1" customWidth="1"/>
    <col min="12" max="12" width="9.140625" style="1"/>
    <col min="13" max="13" width="15" style="1" bestFit="1" customWidth="1"/>
    <col min="14" max="15" width="12.7109375" style="1" customWidth="1"/>
    <col min="16" max="16" width="17.28515625" style="1" bestFit="1" customWidth="1"/>
    <col min="17" max="16384" width="9.140625" style="1"/>
  </cols>
  <sheetData>
    <row r="2" spans="2:17" x14ac:dyDescent="0.2">
      <c r="B2" s="49" t="str">
        <f>"Exihibit "&amp;VLOOKUP(B3,TOC!$B$7:$D$10,3,FALSE)</f>
        <v>Exihibit 3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7" ht="30.75" thickBot="1" x14ac:dyDescent="0.45">
      <c r="B3" s="52" t="s">
        <v>170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5" spans="2:17" ht="15" x14ac:dyDescent="0.25">
      <c r="B5" s="68" t="s">
        <v>77</v>
      </c>
      <c r="C5" s="49"/>
      <c r="E5" s="68" t="s">
        <v>78</v>
      </c>
      <c r="F5" s="68"/>
      <c r="G5" s="68"/>
      <c r="K5" s="68" t="s">
        <v>79</v>
      </c>
      <c r="L5" s="68"/>
      <c r="M5" s="68"/>
      <c r="N5" s="68"/>
      <c r="O5" s="68"/>
      <c r="P5" s="68"/>
    </row>
    <row r="6" spans="2:17" ht="15" x14ac:dyDescent="0.25">
      <c r="B6" s="1" t="s">
        <v>80</v>
      </c>
      <c r="C6" s="69">
        <v>4.5179999999999998E-2</v>
      </c>
      <c r="E6" s="58" t="s">
        <v>82</v>
      </c>
      <c r="F6" s="58" t="s">
        <v>83</v>
      </c>
      <c r="G6" s="58" t="s">
        <v>84</v>
      </c>
    </row>
    <row r="7" spans="2:17" ht="15" x14ac:dyDescent="0.25">
      <c r="B7" s="1" t="s">
        <v>81</v>
      </c>
      <c r="C7" s="70">
        <f>M26</f>
        <v>0.61360475717832563</v>
      </c>
      <c r="E7" s="1" t="s">
        <v>175</v>
      </c>
      <c r="F7" s="77">
        <v>66.718800000000002</v>
      </c>
      <c r="G7" s="75">
        <f>F7/$F$9</f>
        <v>0.88054607508532423</v>
      </c>
      <c r="K7" s="80" t="s">
        <v>85</v>
      </c>
      <c r="L7" s="80"/>
      <c r="M7" s="80" t="s">
        <v>86</v>
      </c>
      <c r="N7" s="80" t="s">
        <v>87</v>
      </c>
      <c r="O7" s="80" t="s">
        <v>88</v>
      </c>
      <c r="P7" s="80" t="s">
        <v>89</v>
      </c>
    </row>
    <row r="8" spans="2:17" x14ac:dyDescent="0.2">
      <c r="B8" s="1" t="s">
        <v>90</v>
      </c>
      <c r="C8" s="69">
        <v>0.12305000000000001</v>
      </c>
      <c r="E8" s="1" t="s">
        <v>93</v>
      </c>
      <c r="F8" s="78">
        <v>9.0510000000000002</v>
      </c>
      <c r="G8" s="75">
        <f>F8/$F$9</f>
        <v>0.11945392491467577</v>
      </c>
      <c r="K8" s="1" t="s">
        <v>91</v>
      </c>
      <c r="M8" s="10">
        <v>0.52900000000000003</v>
      </c>
      <c r="N8" s="20">
        <v>0.2074</v>
      </c>
      <c r="O8" s="10">
        <v>0.33679999999999999</v>
      </c>
      <c r="P8" s="10">
        <f>M8/(1+(O8*(1-N8)))</f>
        <v>0.41753894683322684</v>
      </c>
    </row>
    <row r="9" spans="2:17" ht="15.75" thickBot="1" x14ac:dyDescent="0.3">
      <c r="B9" s="1" t="s">
        <v>92</v>
      </c>
      <c r="C9" s="42">
        <f>C8-C6</f>
        <v>7.7870000000000009E-2</v>
      </c>
      <c r="E9" s="59" t="s">
        <v>95</v>
      </c>
      <c r="F9" s="76">
        <f>SUM(F7:F8)</f>
        <v>75.769800000000004</v>
      </c>
      <c r="G9" s="60">
        <f>SUM(G7:G8)</f>
        <v>1</v>
      </c>
      <c r="K9" s="1" t="s">
        <v>94</v>
      </c>
      <c r="M9" s="10">
        <v>0.54700000000000004</v>
      </c>
      <c r="N9" s="20">
        <v>0.27179999999999999</v>
      </c>
      <c r="O9" s="10">
        <v>0.54269999999999996</v>
      </c>
      <c r="P9" s="10">
        <f t="shared" ref="P9:P12" si="0">M9/(1+(O9*(1-N9)))</f>
        <v>0.39206013293605146</v>
      </c>
    </row>
    <row r="10" spans="2:17" ht="15.75" thickBot="1" x14ac:dyDescent="0.3">
      <c r="B10" s="59" t="s">
        <v>77</v>
      </c>
      <c r="C10" s="60">
        <f>C6+(C7*C9)</f>
        <v>9.2961402441476215E-2</v>
      </c>
      <c r="K10" s="1" t="s">
        <v>96</v>
      </c>
      <c r="M10" s="10">
        <v>0.58299999999999996</v>
      </c>
      <c r="N10" s="20">
        <v>0.15279999999999999</v>
      </c>
      <c r="O10" s="10">
        <v>3.3923999999999999</v>
      </c>
      <c r="P10" s="10">
        <f t="shared" si="0"/>
        <v>0.15048884559123749</v>
      </c>
    </row>
    <row r="11" spans="2:17" ht="15" x14ac:dyDescent="0.25">
      <c r="E11" s="68" t="s">
        <v>99</v>
      </c>
      <c r="F11" s="49"/>
      <c r="G11" s="49"/>
      <c r="K11" s="1" t="s">
        <v>97</v>
      </c>
      <c r="M11" s="10">
        <v>0.53500000000000003</v>
      </c>
      <c r="N11" s="20">
        <v>0.17480000000000001</v>
      </c>
      <c r="O11" s="10">
        <v>1.0726</v>
      </c>
      <c r="P11" s="10">
        <f t="shared" si="0"/>
        <v>0.28380313945897429</v>
      </c>
    </row>
    <row r="12" spans="2:17" ht="15" x14ac:dyDescent="0.25">
      <c r="B12" s="68" t="s">
        <v>98</v>
      </c>
      <c r="C12" s="49"/>
      <c r="E12" s="58" t="s">
        <v>101</v>
      </c>
      <c r="F12" s="58" t="s">
        <v>102</v>
      </c>
      <c r="G12" s="58" t="s">
        <v>103</v>
      </c>
      <c r="K12" s="1" t="s">
        <v>100</v>
      </c>
      <c r="M12" s="10">
        <v>0.77</v>
      </c>
      <c r="N12" s="20">
        <v>0.16869999999999999</v>
      </c>
      <c r="O12" s="10">
        <v>0.57179999999999997</v>
      </c>
      <c r="P12" s="10">
        <f t="shared" si="0"/>
        <v>0.5219145337974026</v>
      </c>
    </row>
    <row r="13" spans="2:17" ht="15" x14ac:dyDescent="0.25">
      <c r="B13" s="1" t="s">
        <v>105</v>
      </c>
      <c r="C13" s="71">
        <f>AVERAGE(E39,I23)</f>
        <v>4.721171901441177E-2</v>
      </c>
      <c r="E13" s="1" t="s">
        <v>106</v>
      </c>
      <c r="F13" s="79">
        <f>G7</f>
        <v>0.88054607508532423</v>
      </c>
      <c r="G13" s="79">
        <f>C10</f>
        <v>9.2961402441476215E-2</v>
      </c>
      <c r="K13" s="12" t="s">
        <v>104</v>
      </c>
      <c r="L13" s="4"/>
      <c r="M13" s="61">
        <f>AVERAGE(M8:M12)</f>
        <v>0.59279999999999999</v>
      </c>
      <c r="N13" s="62">
        <f>AVERAGE(N8:N12)</f>
        <v>0.1951</v>
      </c>
      <c r="O13" s="63">
        <f>AVERAGE(O8:O12)</f>
        <v>1.18326</v>
      </c>
      <c r="P13" s="63">
        <f>AVERAGE(P8:P12)</f>
        <v>0.35316111972337849</v>
      </c>
      <c r="Q13" s="4"/>
    </row>
    <row r="14" spans="2:17" x14ac:dyDescent="0.2">
      <c r="B14" s="1" t="s">
        <v>107</v>
      </c>
      <c r="E14" s="1" t="s">
        <v>93</v>
      </c>
      <c r="F14" s="79">
        <f>G8</f>
        <v>0.11945392491467577</v>
      </c>
      <c r="G14" s="79">
        <f>C13</f>
        <v>4.721171901441177E-2</v>
      </c>
    </row>
    <row r="15" spans="2:17" ht="15.75" thickBot="1" x14ac:dyDescent="0.3">
      <c r="E15" s="59" t="s">
        <v>109</v>
      </c>
      <c r="F15" s="72"/>
      <c r="G15" s="72">
        <f>SUMPRODUCT(F13:F14,G13:G14)</f>
        <v>8.749642319250947E-2</v>
      </c>
      <c r="K15" s="68" t="s">
        <v>108</v>
      </c>
      <c r="L15" s="68"/>
      <c r="M15" s="68"/>
    </row>
    <row r="16" spans="2:17" ht="15" x14ac:dyDescent="0.25">
      <c r="K16" s="18" t="s">
        <v>111</v>
      </c>
    </row>
    <row r="17" spans="2:13" x14ac:dyDescent="0.2">
      <c r="K17" s="1" t="s">
        <v>58</v>
      </c>
      <c r="M17" s="64">
        <v>0.35</v>
      </c>
    </row>
    <row r="18" spans="2:13" ht="15" x14ac:dyDescent="0.25">
      <c r="B18" s="74" t="s">
        <v>110</v>
      </c>
      <c r="C18" s="73"/>
      <c r="D18" s="73"/>
      <c r="E18" s="73"/>
      <c r="G18" s="74" t="s">
        <v>112</v>
      </c>
      <c r="H18" s="73"/>
      <c r="I18" s="73"/>
      <c r="K18" s="1" t="s">
        <v>116</v>
      </c>
      <c r="M18" s="10">
        <v>0.75819999999999999</v>
      </c>
    </row>
    <row r="19" spans="2:13" x14ac:dyDescent="0.2">
      <c r="K19" s="1" t="s">
        <v>118</v>
      </c>
      <c r="M19" s="70">
        <f>P13</f>
        <v>0.35316111972337849</v>
      </c>
    </row>
    <row r="20" spans="2:13" ht="15" x14ac:dyDescent="0.25">
      <c r="B20" s="58" t="s">
        <v>113</v>
      </c>
      <c r="C20" s="58" t="s">
        <v>114</v>
      </c>
      <c r="D20" s="58" t="s">
        <v>115</v>
      </c>
      <c r="E20" s="58" t="s">
        <v>78</v>
      </c>
      <c r="G20" s="1" t="s">
        <v>80</v>
      </c>
      <c r="I20" s="42">
        <v>4.5199999999999997E-2</v>
      </c>
    </row>
    <row r="21" spans="2:13" ht="15" x14ac:dyDescent="0.25">
      <c r="B21" s="1" t="s">
        <v>117</v>
      </c>
      <c r="C21" s="21">
        <v>3.89443056E-2</v>
      </c>
      <c r="D21" s="11">
        <v>800000000</v>
      </c>
      <c r="E21" s="21">
        <f>D21/SUM($D$21:$D$38)</f>
        <v>4.7058823529411764E-2</v>
      </c>
      <c r="G21" s="1" t="s">
        <v>120</v>
      </c>
      <c r="I21" s="1">
        <v>8.2899999999999991</v>
      </c>
      <c r="K21" s="4" t="s">
        <v>122</v>
      </c>
      <c r="L21" s="4"/>
      <c r="M21" s="61">
        <f>M19*(1+(M18*(1-M17)))</f>
        <v>0.5272095143566512</v>
      </c>
    </row>
    <row r="22" spans="2:13" x14ac:dyDescent="0.2">
      <c r="B22" s="1" t="s">
        <v>119</v>
      </c>
      <c r="C22" s="21">
        <v>3.89443056E-2</v>
      </c>
      <c r="D22" s="11">
        <v>800000000</v>
      </c>
      <c r="E22" s="21">
        <f t="shared" ref="E22:E38" si="1">D22/SUM($D$21:$D$38)</f>
        <v>4.7058823529411764E-2</v>
      </c>
      <c r="G22" s="1" t="s">
        <v>180</v>
      </c>
      <c r="I22" s="42">
        <v>4.0000000000000001E-3</v>
      </c>
    </row>
    <row r="23" spans="2:13" ht="15.75" thickBot="1" x14ac:dyDescent="0.3">
      <c r="B23" s="1" t="s">
        <v>121</v>
      </c>
      <c r="C23" s="21">
        <v>4.0205280400000001E-2</v>
      </c>
      <c r="D23" s="11">
        <v>1250000000</v>
      </c>
      <c r="E23" s="21">
        <f t="shared" si="1"/>
        <v>7.3529411764705885E-2</v>
      </c>
      <c r="G23" s="59" t="s">
        <v>98</v>
      </c>
      <c r="H23" s="59"/>
      <c r="I23" s="72">
        <f>I20+I22</f>
        <v>4.9199999999999994E-2</v>
      </c>
      <c r="K23" s="18" t="s">
        <v>125</v>
      </c>
    </row>
    <row r="24" spans="2:13" x14ac:dyDescent="0.2">
      <c r="B24" s="1" t="s">
        <v>123</v>
      </c>
      <c r="C24" s="21">
        <v>4.0205280400000001E-2</v>
      </c>
      <c r="D24" s="11">
        <v>1250000000</v>
      </c>
      <c r="E24" s="21">
        <f t="shared" si="1"/>
        <v>7.3529411764705885E-2</v>
      </c>
      <c r="K24" s="1" t="s">
        <v>181</v>
      </c>
      <c r="M24" s="81">
        <v>0.7</v>
      </c>
    </row>
    <row r="25" spans="2:13" x14ac:dyDescent="0.2">
      <c r="B25" s="1" t="s">
        <v>124</v>
      </c>
      <c r="C25" s="21">
        <v>4.1443468799999994E-2</v>
      </c>
      <c r="D25" s="11">
        <v>1300000000</v>
      </c>
      <c r="E25" s="21">
        <f t="shared" si="1"/>
        <v>7.6470588235294124E-2</v>
      </c>
    </row>
    <row r="26" spans="2:13" ht="15.75" thickBot="1" x14ac:dyDescent="0.3">
      <c r="B26" s="1" t="s">
        <v>126</v>
      </c>
      <c r="C26" s="21">
        <v>4.1443468799999994E-2</v>
      </c>
      <c r="D26" s="11">
        <v>1300000000</v>
      </c>
      <c r="E26" s="21">
        <f t="shared" si="1"/>
        <v>7.6470588235294124E-2</v>
      </c>
      <c r="K26" s="59" t="s">
        <v>129</v>
      </c>
      <c r="L26" s="59"/>
      <c r="M26" s="82">
        <f>AVERAGE(M24,M21)</f>
        <v>0.61360475717832563</v>
      </c>
    </row>
    <row r="27" spans="2:13" x14ac:dyDescent="0.2">
      <c r="B27" s="1" t="s">
        <v>127</v>
      </c>
      <c r="C27" s="21">
        <v>4.3167151300000005E-2</v>
      </c>
      <c r="D27" s="11">
        <v>1000000000</v>
      </c>
      <c r="E27" s="21">
        <f t="shared" si="1"/>
        <v>5.8823529411764705E-2</v>
      </c>
    </row>
    <row r="28" spans="2:13" x14ac:dyDescent="0.2">
      <c r="B28" s="1" t="s">
        <v>128</v>
      </c>
      <c r="C28" s="21">
        <v>4.3167151300000005E-2</v>
      </c>
      <c r="D28" s="11">
        <v>1000000000</v>
      </c>
      <c r="E28" s="21">
        <f t="shared" si="1"/>
        <v>5.8823529411764705E-2</v>
      </c>
    </row>
    <row r="29" spans="2:13" x14ac:dyDescent="0.2">
      <c r="B29" s="1" t="s">
        <v>130</v>
      </c>
      <c r="C29" s="21">
        <v>4.3381216E-2</v>
      </c>
      <c r="D29" s="11">
        <v>500000000</v>
      </c>
      <c r="E29" s="21">
        <f t="shared" si="1"/>
        <v>2.9411764705882353E-2</v>
      </c>
    </row>
    <row r="30" spans="2:13" x14ac:dyDescent="0.2">
      <c r="B30" s="1" t="s">
        <v>131</v>
      </c>
      <c r="C30" s="21">
        <v>4.3381216E-2</v>
      </c>
      <c r="D30" s="11">
        <v>500000000</v>
      </c>
      <c r="E30" s="21">
        <f t="shared" si="1"/>
        <v>2.9411764705882353E-2</v>
      </c>
    </row>
    <row r="31" spans="2:13" ht="15" x14ac:dyDescent="0.25">
      <c r="B31" s="1" t="s">
        <v>132</v>
      </c>
      <c r="C31" s="21">
        <v>4.5972969499999995E-2</v>
      </c>
      <c r="D31" s="11">
        <v>1500000000</v>
      </c>
      <c r="E31" s="21">
        <f t="shared" si="1"/>
        <v>8.8235294117647065E-2</v>
      </c>
      <c r="G31" s="18" t="s">
        <v>179</v>
      </c>
    </row>
    <row r="32" spans="2:13" x14ac:dyDescent="0.2">
      <c r="B32" s="1" t="s">
        <v>133</v>
      </c>
      <c r="C32" s="21">
        <v>4.5972969499999995E-2</v>
      </c>
      <c r="D32" s="11">
        <v>1500000000</v>
      </c>
      <c r="E32" s="21">
        <f t="shared" si="1"/>
        <v>8.8235294117647065E-2</v>
      </c>
      <c r="G32" s="8" t="s">
        <v>182</v>
      </c>
    </row>
    <row r="33" spans="2:7" x14ac:dyDescent="0.2">
      <c r="B33" s="1" t="s">
        <v>134</v>
      </c>
      <c r="C33" s="21">
        <v>5.2789739000000002E-2</v>
      </c>
      <c r="D33" s="11">
        <v>400000000</v>
      </c>
      <c r="E33" s="21">
        <f t="shared" si="1"/>
        <v>2.3529411764705882E-2</v>
      </c>
      <c r="G33" s="8" t="s">
        <v>183</v>
      </c>
    </row>
    <row r="34" spans="2:7" x14ac:dyDescent="0.2">
      <c r="B34" s="1" t="s">
        <v>135</v>
      </c>
      <c r="C34" s="21">
        <v>5.2789739000000002E-2</v>
      </c>
      <c r="D34" s="11">
        <v>400000000</v>
      </c>
      <c r="E34" s="21">
        <f t="shared" si="1"/>
        <v>2.3529411764705882E-2</v>
      </c>
    </row>
    <row r="35" spans="2:7" x14ac:dyDescent="0.2">
      <c r="B35" s="1" t="s">
        <v>136</v>
      </c>
      <c r="C35" s="21">
        <v>5.3722709299999998E-2</v>
      </c>
      <c r="D35" s="11">
        <v>1000000000</v>
      </c>
      <c r="E35" s="21">
        <f t="shared" si="1"/>
        <v>5.8823529411764705E-2</v>
      </c>
    </row>
    <row r="36" spans="2:7" x14ac:dyDescent="0.2">
      <c r="B36" s="1" t="s">
        <v>137</v>
      </c>
      <c r="C36" s="21">
        <v>5.3722709299999998E-2</v>
      </c>
      <c r="D36" s="11">
        <v>1000000000</v>
      </c>
      <c r="E36" s="21">
        <f t="shared" si="1"/>
        <v>5.8823529411764705E-2</v>
      </c>
    </row>
    <row r="37" spans="2:7" x14ac:dyDescent="0.2">
      <c r="B37" s="1" t="s">
        <v>138</v>
      </c>
      <c r="C37" s="21">
        <v>5.3939800499999996E-2</v>
      </c>
      <c r="D37" s="11">
        <v>750000000</v>
      </c>
      <c r="E37" s="21">
        <f t="shared" si="1"/>
        <v>4.4117647058823532E-2</v>
      </c>
    </row>
    <row r="38" spans="2:7" x14ac:dyDescent="0.2">
      <c r="B38" s="1" t="s">
        <v>139</v>
      </c>
      <c r="C38" s="21">
        <v>5.3939800499999996E-2</v>
      </c>
      <c r="D38" s="11">
        <v>750000000</v>
      </c>
      <c r="E38" s="21">
        <f t="shared" si="1"/>
        <v>4.4117647058823532E-2</v>
      </c>
    </row>
    <row r="39" spans="2:7" ht="15.75" thickBot="1" x14ac:dyDescent="0.3">
      <c r="B39" s="59" t="s">
        <v>140</v>
      </c>
      <c r="C39" s="59"/>
      <c r="D39" s="59"/>
      <c r="E39" s="60">
        <f>SUMPRODUCT(C21:C38,E21:E38)</f>
        <v>4.5223438028823545E-2</v>
      </c>
    </row>
  </sheetData>
  <customSheetViews>
    <customSheetView guid="{533A6729-32A7-4C45-B8EF-31FE68A4042A}">
      <pageMargins left="0" right="0" top="0" bottom="0" header="0" footer="0"/>
    </customSheetView>
  </customSheetView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DD66-8412-4268-A5F3-8F14ED6A9C00}">
  <dimension ref="B2:O40"/>
  <sheetViews>
    <sheetView showGridLines="0" zoomScaleNormal="100" workbookViewId="0">
      <selection activeCell="B2" sqref="B2"/>
    </sheetView>
  </sheetViews>
  <sheetFormatPr defaultColWidth="9.140625" defaultRowHeight="14.25" x14ac:dyDescent="0.2"/>
  <cols>
    <col min="1" max="1" width="4.7109375" style="1" customWidth="1"/>
    <col min="2" max="2" width="31.42578125" style="1" bestFit="1" customWidth="1"/>
    <col min="3" max="8" width="11.7109375" style="14" customWidth="1"/>
    <col min="9" max="15" width="10.42578125" style="1" bestFit="1" customWidth="1"/>
    <col min="16" max="16384" width="9.140625" style="1"/>
  </cols>
  <sheetData>
    <row r="2" spans="2:15" x14ac:dyDescent="0.2">
      <c r="B2" s="49" t="str">
        <f>"Exihibit "&amp;VLOOKUP(B3,TOC!$B$7:$D$10,3,FALSE)</f>
        <v>Exihibit 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30.75" thickBot="1" x14ac:dyDescent="0.45">
      <c r="B3" s="52" t="s">
        <v>174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6" spans="2:15" ht="15" x14ac:dyDescent="0.25">
      <c r="B6" s="65" t="s">
        <v>172</v>
      </c>
      <c r="C6" s="66">
        <v>2025</v>
      </c>
      <c r="D6" s="67">
        <v>2026</v>
      </c>
      <c r="E6" s="67">
        <f>D6+1</f>
        <v>2027</v>
      </c>
      <c r="F6" s="67">
        <f>E6+1</f>
        <v>2028</v>
      </c>
      <c r="G6" s="67">
        <f>F6+1</f>
        <v>2029</v>
      </c>
      <c r="H6" s="67">
        <f>G6+1</f>
        <v>2030</v>
      </c>
      <c r="I6"/>
      <c r="J6"/>
    </row>
    <row r="7" spans="2:15" ht="3.95" customHeight="1" x14ac:dyDescent="0.2">
      <c r="C7" s="1"/>
      <c r="D7" s="1"/>
      <c r="E7" s="1"/>
      <c r="F7" s="1"/>
      <c r="G7" s="1"/>
      <c r="H7" s="1"/>
    </row>
    <row r="8" spans="2:15" x14ac:dyDescent="0.2">
      <c r="B8" s="1" t="s">
        <v>141</v>
      </c>
      <c r="C8" s="2">
        <f>J39</f>
        <v>3298</v>
      </c>
      <c r="D8" s="2">
        <f t="shared" ref="D8:H8" si="0">K39</f>
        <v>3491.7957390379688</v>
      </c>
      <c r="E8" s="2">
        <f t="shared" si="0"/>
        <v>3661.6884567817528</v>
      </c>
      <c r="F8" s="2">
        <f t="shared" si="0"/>
        <v>3806.6332589543599</v>
      </c>
      <c r="G8" s="2">
        <f t="shared" si="0"/>
        <v>3980.977855629345</v>
      </c>
      <c r="H8" s="2">
        <f t="shared" si="0"/>
        <v>4205.0160335861983</v>
      </c>
    </row>
    <row r="9" spans="2:15" x14ac:dyDescent="0.2">
      <c r="B9" s="1" t="s">
        <v>142</v>
      </c>
      <c r="C9" s="6">
        <f>-IS!J23*(1-IS!J29)</f>
        <v>295.22935322130843</v>
      </c>
      <c r="D9" s="6">
        <f>-IS!K23*(1-IS!K29)</f>
        <v>358.14619572468479</v>
      </c>
      <c r="E9" s="6">
        <f>-IS!L23*(1-IS!L29)</f>
        <v>374.1432549295298</v>
      </c>
      <c r="F9" s="6">
        <f>-IS!M23*(1-IS!M29)</f>
        <v>377.9938835599736</v>
      </c>
      <c r="G9" s="6">
        <f>-IS!N23*(1-IS!N29)</f>
        <v>394.3899890633416</v>
      </c>
      <c r="H9" s="6">
        <f>-IS!O23*(1-IS!O29)</f>
        <v>397.28854636791635</v>
      </c>
    </row>
    <row r="10" spans="2:15" x14ac:dyDescent="0.2">
      <c r="B10" s="1" t="s">
        <v>143</v>
      </c>
      <c r="C10" s="2">
        <f>-IS!J50</f>
        <v>-920</v>
      </c>
      <c r="D10" s="2">
        <f>-IS!K50</f>
        <v>-779.03770275644615</v>
      </c>
      <c r="E10" s="2">
        <f>-IS!L50</f>
        <v>-881.69864443600886</v>
      </c>
      <c r="F10" s="2">
        <f>-IS!M50</f>
        <v>-964.47994977512826</v>
      </c>
      <c r="G10" s="2">
        <f>-IS!N50</f>
        <v>-1055.9115665772842</v>
      </c>
      <c r="H10" s="2">
        <f>-IS!O50</f>
        <v>-1120.5974508837987</v>
      </c>
    </row>
    <row r="11" spans="2:15" ht="15" x14ac:dyDescent="0.25">
      <c r="B11" s="88" t="s">
        <v>144</v>
      </c>
      <c r="C11" s="89">
        <f>SUM(C8:C10)</f>
        <v>2673.2293532213084</v>
      </c>
      <c r="D11" s="89">
        <f t="shared" ref="D11:H11" si="1">SUM(D8:D10)</f>
        <v>3070.9042320062072</v>
      </c>
      <c r="E11" s="89">
        <f t="shared" si="1"/>
        <v>3154.1330672752738</v>
      </c>
      <c r="F11" s="89">
        <f t="shared" si="1"/>
        <v>3220.1471927392049</v>
      </c>
      <c r="G11" s="89">
        <f t="shared" si="1"/>
        <v>3319.4562781154027</v>
      </c>
      <c r="H11" s="89">
        <f t="shared" si="1"/>
        <v>3481.7071290703161</v>
      </c>
    </row>
    <row r="13" spans="2:15" x14ac:dyDescent="0.2">
      <c r="B13" s="1" t="s">
        <v>62</v>
      </c>
      <c r="C13" s="87">
        <f>IS!J35</f>
        <v>2997</v>
      </c>
      <c r="D13" s="87">
        <f>IS!K35</f>
        <v>2963.8087028714785</v>
      </c>
      <c r="E13" s="87">
        <f>IS!L35</f>
        <v>2923.5262355585883</v>
      </c>
      <c r="F13" s="87">
        <f>IS!M35</f>
        <v>2884.8606667567483</v>
      </c>
      <c r="G13" s="87">
        <f>IS!N35</f>
        <v>2854.0558149673307</v>
      </c>
      <c r="H13" s="87">
        <f>IS!O35</f>
        <v>2824.9781477369229</v>
      </c>
    </row>
    <row r="14" spans="2:15" x14ac:dyDescent="0.2">
      <c r="B14" s="1" t="s">
        <v>145</v>
      </c>
      <c r="C14" s="10">
        <f>C11/C13</f>
        <v>0.89196841949326278</v>
      </c>
      <c r="D14" s="10">
        <f t="shared" ref="D14:H14" si="2">D11/D13</f>
        <v>1.0361344269726211</v>
      </c>
      <c r="E14" s="10">
        <f t="shared" si="2"/>
        <v>1.07887968608314</v>
      </c>
      <c r="F14" s="10">
        <f t="shared" si="2"/>
        <v>1.1162227797848541</v>
      </c>
      <c r="G14" s="10">
        <f t="shared" si="2"/>
        <v>1.1630663495462856</v>
      </c>
      <c r="H14" s="10">
        <f t="shared" si="2"/>
        <v>1.2324722341160395</v>
      </c>
    </row>
    <row r="16" spans="2:15" x14ac:dyDescent="0.2">
      <c r="B16" s="1" t="s">
        <v>146</v>
      </c>
      <c r="C16" s="46">
        <f ca="1">TODAY()</f>
        <v>46128</v>
      </c>
    </row>
    <row r="17" spans="2:8" x14ac:dyDescent="0.2">
      <c r="B17" s="1" t="s">
        <v>147</v>
      </c>
      <c r="C17" s="46">
        <v>46387</v>
      </c>
    </row>
    <row r="19" spans="2:8" x14ac:dyDescent="0.2">
      <c r="B19" s="1" t="s">
        <v>148</v>
      </c>
      <c r="D19" s="46">
        <v>46387</v>
      </c>
      <c r="E19" s="46">
        <v>46752</v>
      </c>
      <c r="F19" s="46">
        <v>47118</v>
      </c>
      <c r="G19" s="46">
        <v>47483</v>
      </c>
      <c r="H19" s="46">
        <v>47848</v>
      </c>
    </row>
    <row r="20" spans="2:8" x14ac:dyDescent="0.2">
      <c r="B20" s="1" t="s">
        <v>149</v>
      </c>
      <c r="D20" s="10">
        <f ca="1">_xlfn.DAYS(D19,$C$16)/365</f>
        <v>0.70958904109589038</v>
      </c>
      <c r="E20" s="10">
        <f t="shared" ref="E20:G20" ca="1" si="3">_xlfn.DAYS(E19,$C$16)/365</f>
        <v>1.7095890410958905</v>
      </c>
      <c r="F20" s="10">
        <f t="shared" ca="1" si="3"/>
        <v>2.7123287671232879</v>
      </c>
      <c r="G20" s="10">
        <f t="shared" ca="1" si="3"/>
        <v>3.7123287671232879</v>
      </c>
      <c r="H20" s="10">
        <f ca="1">_xlfn.DAYS(H19,$C$16)/365</f>
        <v>4.7123287671232879</v>
      </c>
    </row>
    <row r="21" spans="2:8" x14ac:dyDescent="0.2">
      <c r="B21" s="1" t="s">
        <v>150</v>
      </c>
      <c r="C21" s="10"/>
      <c r="D21" s="10">
        <f ca="1">1/(1+WACC!$G$15)^DCF!D20</f>
        <v>0.94221758612724893</v>
      </c>
      <c r="E21" s="10">
        <f ca="1">1/(1+WACC!$G$15)^DCF!E20</f>
        <v>0.86640982538703659</v>
      </c>
      <c r="F21" s="10">
        <f ca="1">1/(1+WACC!$G$15)^DCF!F20</f>
        <v>0.79651824684201966</v>
      </c>
      <c r="G21" s="10">
        <f ca="1">1/(1+WACC!$G$15)^DCF!G20</f>
        <v>0.73243298079429109</v>
      </c>
      <c r="H21" s="10">
        <f ca="1">1/(1+WACC!$G$15)^DCF!H20</f>
        <v>0.67350380670138099</v>
      </c>
    </row>
    <row r="22" spans="2:8" x14ac:dyDescent="0.2">
      <c r="C22" s="10"/>
      <c r="D22" s="10"/>
      <c r="E22" s="10"/>
      <c r="F22" s="10"/>
      <c r="G22" s="10"/>
      <c r="H22" s="10"/>
    </row>
    <row r="23" spans="2:8" ht="15" x14ac:dyDescent="0.25">
      <c r="B23" s="4" t="s">
        <v>151</v>
      </c>
      <c r="C23" s="43"/>
      <c r="D23" s="61">
        <f ca="1">D21*D14</f>
        <v>0.97626407868548337</v>
      </c>
      <c r="E23" s="61">
        <f t="shared" ref="E23:H23" ca="1" si="4">E21*E14</f>
        <v>0.9347519604329142</v>
      </c>
      <c r="F23" s="61">
        <f t="shared" ca="1" si="4"/>
        <v>0.8890918116393578</v>
      </c>
      <c r="G23" s="61">
        <f t="shared" ca="1" si="4"/>
        <v>0.85186815325972087</v>
      </c>
      <c r="H23" s="61">
        <f t="shared" ca="1" si="4"/>
        <v>0.83007474133090819</v>
      </c>
    </row>
    <row r="25" spans="2:8" ht="15" x14ac:dyDescent="0.25">
      <c r="B25" s="68" t="s">
        <v>178</v>
      </c>
      <c r="C25" s="49"/>
      <c r="F25" s="68" t="s">
        <v>153</v>
      </c>
      <c r="G25" s="68"/>
      <c r="H25" s="68"/>
    </row>
    <row r="26" spans="2:8" ht="15" x14ac:dyDescent="0.25">
      <c r="B26" s="1" t="s">
        <v>152</v>
      </c>
      <c r="C26" s="10">
        <f>SUM(D14:H14)</f>
        <v>5.6267754765029405</v>
      </c>
      <c r="F26" s="44" t="s">
        <v>156</v>
      </c>
    </row>
    <row r="27" spans="2:8" x14ac:dyDescent="0.2">
      <c r="B27" s="1" t="s">
        <v>154</v>
      </c>
      <c r="C27" s="14">
        <f>AVERAGE(H29,H35)</f>
        <v>85155.354021210151</v>
      </c>
      <c r="F27" s="14" t="s">
        <v>159</v>
      </c>
      <c r="H27" s="14">
        <f>IS!O16</f>
        <v>5396.9428499067199</v>
      </c>
    </row>
    <row r="28" spans="2:8" x14ac:dyDescent="0.2">
      <c r="B28" s="1" t="s">
        <v>155</v>
      </c>
      <c r="C28" s="10">
        <f>C27/C13</f>
        <v>28.413531538608659</v>
      </c>
      <c r="F28" s="14" t="s">
        <v>161</v>
      </c>
      <c r="H28" s="45">
        <v>20</v>
      </c>
    </row>
    <row r="29" spans="2:8" ht="15" x14ac:dyDescent="0.25">
      <c r="B29" s="1" t="s">
        <v>157</v>
      </c>
      <c r="C29" s="17">
        <f>-WACC!F8/(DCF!C13/1000)</f>
        <v>-3.02002002002002</v>
      </c>
      <c r="D29" s="17"/>
      <c r="F29" s="43" t="s">
        <v>162</v>
      </c>
      <c r="G29" s="43"/>
      <c r="H29" s="43">
        <f>H27*H28</f>
        <v>107938.8569981344</v>
      </c>
    </row>
    <row r="30" spans="2:8" x14ac:dyDescent="0.2">
      <c r="B30" s="1" t="s">
        <v>158</v>
      </c>
      <c r="C30" s="10">
        <f>3621/C13</f>
        <v>1.2082082082082082</v>
      </c>
    </row>
    <row r="31" spans="2:8" ht="15" x14ac:dyDescent="0.25">
      <c r="B31" s="47" t="s">
        <v>160</v>
      </c>
      <c r="C31" s="48">
        <f>SUM(C28:C30,C26)</f>
        <v>32.228495203299786</v>
      </c>
      <c r="F31" s="44" t="s">
        <v>163</v>
      </c>
    </row>
    <row r="32" spans="2:8" x14ac:dyDescent="0.2">
      <c r="F32" s="14" t="s">
        <v>164</v>
      </c>
      <c r="H32" s="14">
        <f>H11</f>
        <v>3481.7071290703161</v>
      </c>
    </row>
    <row r="33" spans="2:15" x14ac:dyDescent="0.2">
      <c r="F33" s="14" t="s">
        <v>165</v>
      </c>
      <c r="H33" s="19">
        <v>0.03</v>
      </c>
    </row>
    <row r="34" spans="2:15" x14ac:dyDescent="0.2">
      <c r="F34" s="14" t="s">
        <v>109</v>
      </c>
      <c r="H34" s="19">
        <f>WACC!G15</f>
        <v>8.749642319250947E-2</v>
      </c>
    </row>
    <row r="35" spans="2:15" ht="15" x14ac:dyDescent="0.25">
      <c r="F35" s="43" t="s">
        <v>166</v>
      </c>
      <c r="G35" s="43"/>
      <c r="H35" s="43">
        <f>H32*(1+H33)/(H34-H33)</f>
        <v>62371.851044285897</v>
      </c>
    </row>
    <row r="37" spans="2:15" ht="15" x14ac:dyDescent="0.25">
      <c r="B37" s="68" t="s">
        <v>176</v>
      </c>
    </row>
    <row r="38" spans="2:15" x14ac:dyDescent="0.2">
      <c r="B38" s="83" t="s">
        <v>177</v>
      </c>
      <c r="C38" s="84"/>
      <c r="D38" s="85">
        <v>2019</v>
      </c>
      <c r="E38" s="85">
        <f>D38+1</f>
        <v>2020</v>
      </c>
      <c r="F38" s="85">
        <f t="shared" ref="F38:O38" si="5">E38+1</f>
        <v>2021</v>
      </c>
      <c r="G38" s="85">
        <f t="shared" si="5"/>
        <v>2022</v>
      </c>
      <c r="H38" s="85">
        <f t="shared" si="5"/>
        <v>2023</v>
      </c>
      <c r="I38" s="85">
        <f t="shared" si="5"/>
        <v>2024</v>
      </c>
      <c r="J38" s="85">
        <f t="shared" si="5"/>
        <v>2025</v>
      </c>
      <c r="K38" s="86">
        <f t="shared" si="5"/>
        <v>2026</v>
      </c>
      <c r="L38" s="86">
        <f t="shared" si="5"/>
        <v>2027</v>
      </c>
      <c r="M38" s="86">
        <f t="shared" si="5"/>
        <v>2028</v>
      </c>
      <c r="N38" s="86">
        <f t="shared" si="5"/>
        <v>2029</v>
      </c>
      <c r="O38" s="86">
        <f t="shared" si="5"/>
        <v>2030</v>
      </c>
    </row>
    <row r="39" spans="2:15" x14ac:dyDescent="0.2">
      <c r="B39" s="1" t="s">
        <v>75</v>
      </c>
      <c r="C39" s="1"/>
      <c r="D39" s="41">
        <v>1534</v>
      </c>
      <c r="E39" s="41">
        <v>985</v>
      </c>
      <c r="F39" s="41">
        <v>2280</v>
      </c>
      <c r="G39" s="41">
        <v>2696</v>
      </c>
      <c r="H39" s="41">
        <v>3664</v>
      </c>
      <c r="I39" s="41">
        <v>3670</v>
      </c>
      <c r="J39" s="41">
        <v>3298</v>
      </c>
      <c r="K39" s="11">
        <f>IS!K7*K40</f>
        <v>3491.7957390379688</v>
      </c>
      <c r="L39" s="11">
        <f>IS!L7*L40</f>
        <v>3661.6884567817528</v>
      </c>
      <c r="M39" s="11">
        <f>IS!M7*M40</f>
        <v>3806.6332589543599</v>
      </c>
      <c r="N39" s="11">
        <f>IS!N7*N40</f>
        <v>3980.977855629345</v>
      </c>
      <c r="O39" s="11">
        <f>IS!O7*O40</f>
        <v>4205.0160335861983</v>
      </c>
    </row>
    <row r="40" spans="2:15" x14ac:dyDescent="0.2">
      <c r="B40" s="1" t="s">
        <v>76</v>
      </c>
      <c r="D40" s="19">
        <f>D39/IS!D7</f>
        <v>8.380223982518438E-2</v>
      </c>
      <c r="E40" s="19">
        <f>E39/IS!E7</f>
        <v>5.1097162421538618E-2</v>
      </c>
      <c r="F40" s="19">
        <f>F39/IS!F7</f>
        <v>0.11679729522053174</v>
      </c>
      <c r="G40" s="19">
        <f>G39/IS!G7</f>
        <v>0.12682284316492615</v>
      </c>
      <c r="H40" s="19">
        <f>H39/IS!H7</f>
        <v>0.158765924256868</v>
      </c>
      <c r="I40" s="19">
        <f>I39/IS!I7</f>
        <v>0.13948008513225904</v>
      </c>
      <c r="J40" s="19">
        <f>J39/IS!J7</f>
        <v>0.11638904573687182</v>
      </c>
      <c r="K40" s="20">
        <f>AVERAGE($D$40:$J$40)</f>
        <v>0.11330779939402569</v>
      </c>
      <c r="L40" s="20">
        <f t="shared" ref="L40:O40" si="6">AVERAGE($D$40:$J$40)</f>
        <v>0.11330779939402569</v>
      </c>
      <c r="M40" s="20">
        <f t="shared" si="6"/>
        <v>0.11330779939402569</v>
      </c>
      <c r="N40" s="20">
        <f t="shared" si="6"/>
        <v>0.11330779939402569</v>
      </c>
      <c r="O40" s="20">
        <f t="shared" si="6"/>
        <v>0.11330779939402569</v>
      </c>
    </row>
  </sheetData>
  <customSheetViews>
    <customSheetView guid="{533A6729-32A7-4C45-B8EF-31FE68A4042A}" scale="190">
      <selection activeCell="B6" sqref="B6"/>
      <pageMargins left="0" right="0" top="0" bottom="0" header="0" footer="0"/>
    </customSheetView>
  </customSheetView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TOC</vt:lpstr>
      <vt:lpstr>Drivers</vt:lpstr>
      <vt:lpstr>IS</vt:lpstr>
      <vt:lpstr>WACC</vt:lpstr>
      <vt:lpstr>DCF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Shashank Singh</dc:creator>
  <cp:keywords/>
  <dc:description/>
  <cp:lastModifiedBy>Shashank Singh</cp:lastModifiedBy>
  <cp:revision/>
  <dcterms:created xsi:type="dcterms:W3CDTF">2026-02-06T20:12:56Z</dcterms:created>
  <dcterms:modified xsi:type="dcterms:W3CDTF">2026-04-16T16:12:09Z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{D81E6494-719E-44D0-87E0-A6FB50C48D77}</vt:lpwstr>
  </property>
</Properties>
</file>
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2888975\Downloads\"/>
    </mc:Choice>
  </mc:AlternateContent>
  <xr:revisionPtr revIDLastSave="0" documentId="13_ncr:1_{751E9974-F87F-476E-A240-8FAE0A2CEA1A}" xr6:coauthVersionLast="47" xr6:coauthVersionMax="47" xr10:uidLastSave="{00000000-0000-0000-0000-000000000000}"/>
  <bookViews>
    <workbookView xWindow="-28920" yWindow="-120" windowWidth="29040" windowHeight="15720" xr2:uid="{BCC1A793-4046-4D76-9FED-90502C9582B0}"/>
  </bookViews>
  <sheets>
    <sheet name="Cover Page" sheetId="14" r:id="rId1"/>
    <sheet name="TOC" sheetId="11" r:id="rId2"/>
    <sheet name="Residual Income" sheetId="2" r:id="rId3"/>
    <sheet name="DDM" sheetId="8" r:id="rId4"/>
    <sheet name="Ratios" sheetId="13" r:id="rId5"/>
    <sheet name="WACC" sheetId="3" r:id="rId6"/>
    <sheet name="Regression" sheetId="4" r:id="rId7"/>
  </sheets>
  <externalReferences>
    <externalReference r:id="rId8"/>
    <externalReference r:id="rId9"/>
  </externalReferences>
  <definedNames>
    <definedName name="CIQWBGuid" hidden="1">"b8728204-a334-4ecd-8cb8-e4f89158fd8d"</definedName>
    <definedName name="CIQWBInfo" hidden="1">"{ ""CIQVersion"":""9.51.3510.3078"" }"</definedName>
    <definedName name="EV">'[1]Inputs&amp;Assumptions'!$D$13</definedName>
    <definedName name="EVEBITDA">'[1]Inputs&amp;Assumptions'!$D$17</definedName>
    <definedName name="FYEnd">'[1]Inputs&amp;Assumptions'!$D$6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14:23:53"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Rf">'[1]Inputs&amp;Assumptions'!$D$20</definedName>
    <definedName name="SharesQty">'[1]Inputs&amp;Assumptions'!$D$10</definedName>
    <definedName name="TaxRate">'[1]Inputs&amp;Assumptions'!$D$14</definedName>
    <definedName name="TerminalGrowth">'[1]Inputs&amp;Assumptions'!$D$15</definedName>
    <definedName name="ValuationDate">'[1]Inputs&amp;Assumptions'!$D$5</definedName>
    <definedName name="WACC">'[1]Inputs&amp;Assumptions'!$D$16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4" l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F9" i="4"/>
  <c r="G9" i="4"/>
  <c r="H9" i="4"/>
  <c r="I9" i="4"/>
  <c r="J9" i="4"/>
  <c r="K9" i="4"/>
  <c r="L9" i="4"/>
  <c r="M9" i="4"/>
  <c r="N9" i="4"/>
  <c r="O9" i="4"/>
  <c r="F11" i="4"/>
  <c r="G11" i="4"/>
  <c r="H11" i="4"/>
  <c r="I11" i="4"/>
  <c r="J11" i="4"/>
  <c r="K11" i="4"/>
  <c r="L11" i="4"/>
  <c r="M11" i="4"/>
  <c r="N11" i="4"/>
  <c r="O11" i="4"/>
  <c r="P11" i="4" s="1"/>
  <c r="F12" i="4"/>
  <c r="D17" i="4" s="1" a="1"/>
  <c r="D17" i="4" s="1"/>
  <c r="G12" i="4"/>
  <c r="H12" i="4"/>
  <c r="I12" i="4"/>
  <c r="J12" i="4"/>
  <c r="K12" i="4"/>
  <c r="L12" i="4"/>
  <c r="M12" i="4"/>
  <c r="N12" i="4"/>
  <c r="O12" i="4"/>
  <c r="P12" i="4"/>
  <c r="B16" i="4"/>
  <c r="C16" i="4"/>
  <c r="D16" i="4"/>
  <c r="B17" i="4" a="1"/>
  <c r="B17" i="4" s="1"/>
  <c r="C17" i="4" a="1"/>
  <c r="C17" i="4" s="1"/>
  <c r="N10" i="3"/>
  <c r="Q10" i="3"/>
  <c r="R10" i="3"/>
  <c r="S10" i="3"/>
  <c r="W10" i="3"/>
  <c r="Y10" i="3"/>
  <c r="AB10" i="3"/>
  <c r="W11" i="3"/>
  <c r="Y11" i="3"/>
  <c r="W12" i="3"/>
  <c r="Y12" i="3"/>
  <c r="Q13" i="3"/>
  <c r="S13" i="3"/>
  <c r="W13" i="3"/>
  <c r="Y13" i="3"/>
  <c r="AB13" i="3"/>
  <c r="D11" i="3" s="1"/>
  <c r="D12" i="3" s="1"/>
  <c r="Q14" i="3"/>
  <c r="Q24" i="3" s="1"/>
  <c r="S14" i="3"/>
  <c r="W14" i="3"/>
  <c r="Y14" i="3"/>
  <c r="AB14" i="3"/>
  <c r="Q15" i="3"/>
  <c r="S15" i="3"/>
  <c r="W15" i="3"/>
  <c r="Y15" i="3"/>
  <c r="Q16" i="3"/>
  <c r="S16" i="3"/>
  <c r="W16" i="3"/>
  <c r="Y16" i="3"/>
  <c r="C17" i="3"/>
  <c r="Q17" i="3"/>
  <c r="S17" i="3"/>
  <c r="W17" i="3"/>
  <c r="Y17" i="3"/>
  <c r="D18" i="3"/>
  <c r="Q18" i="3"/>
  <c r="S18" i="3"/>
  <c r="W18" i="3"/>
  <c r="Y18" i="3"/>
  <c r="C19" i="3"/>
  <c r="Q19" i="3"/>
  <c r="S19" i="3"/>
  <c r="W19" i="3"/>
  <c r="Y19" i="3"/>
  <c r="Q20" i="3"/>
  <c r="S20" i="3"/>
  <c r="W20" i="3"/>
  <c r="Y20" i="3"/>
  <c r="Q21" i="3"/>
  <c r="S21" i="3"/>
  <c r="W21" i="3"/>
  <c r="Y21" i="3"/>
  <c r="Q22" i="3"/>
  <c r="S22" i="3"/>
  <c r="W22" i="3"/>
  <c r="Y22" i="3"/>
  <c r="W23" i="3"/>
  <c r="Y23" i="3"/>
  <c r="N24" i="3"/>
  <c r="O24" i="3"/>
  <c r="P24" i="3"/>
  <c r="D22" i="3" s="1"/>
  <c r="D23" i="3" s="1"/>
  <c r="R24" i="3"/>
  <c r="D19" i="3" s="1"/>
  <c r="W24" i="3"/>
  <c r="Y24" i="3"/>
  <c r="N25" i="3"/>
  <c r="O25" i="3"/>
  <c r="P25" i="3"/>
  <c r="R25" i="3"/>
  <c r="W25" i="3"/>
  <c r="Y25" i="3"/>
  <c r="W26" i="3"/>
  <c r="Y26" i="3"/>
  <c r="W27" i="3"/>
  <c r="Y27" i="3"/>
  <c r="W28" i="3"/>
  <c r="Y28" i="3"/>
  <c r="W29" i="3"/>
  <c r="Y29" i="3"/>
  <c r="W30" i="3"/>
  <c r="Y30" i="3"/>
  <c r="W31" i="3"/>
  <c r="Y31" i="3"/>
  <c r="W32" i="3"/>
  <c r="Y32" i="3"/>
  <c r="W33" i="3"/>
  <c r="Y33" i="3"/>
  <c r="W34" i="3"/>
  <c r="Y34" i="3"/>
  <c r="W35" i="3"/>
  <c r="Y35" i="3"/>
  <c r="W36" i="3"/>
  <c r="Y36" i="3"/>
  <c r="W37" i="3"/>
  <c r="Y37" i="3"/>
  <c r="W38" i="3"/>
  <c r="Y38" i="3"/>
  <c r="W39" i="3"/>
  <c r="Y39" i="3"/>
  <c r="W40" i="3"/>
  <c r="Y40" i="3"/>
  <c r="W41" i="3"/>
  <c r="Y41" i="3"/>
  <c r="W42" i="3"/>
  <c r="Y42" i="3"/>
  <c r="W43" i="3"/>
  <c r="Y43" i="3"/>
  <c r="W44" i="3"/>
  <c r="Y44" i="3"/>
  <c r="W45" i="3"/>
  <c r="Y45" i="3"/>
  <c r="W46" i="3"/>
  <c r="Y46" i="3"/>
  <c r="W47" i="3"/>
  <c r="Y47" i="3"/>
  <c r="W48" i="3"/>
  <c r="Y48" i="3"/>
  <c r="W49" i="3"/>
  <c r="Y49" i="3"/>
  <c r="W50" i="3"/>
  <c r="Y50" i="3"/>
  <c r="W51" i="3"/>
  <c r="Y51" i="3"/>
  <c r="W52" i="3"/>
  <c r="Y52" i="3"/>
  <c r="W53" i="3"/>
  <c r="Y53" i="3"/>
  <c r="W54" i="3"/>
  <c r="Y54" i="3"/>
  <c r="W55" i="3"/>
  <c r="Y55" i="3"/>
  <c r="W56" i="3"/>
  <c r="Y56" i="3"/>
  <c r="W57" i="3"/>
  <c r="Y57" i="3"/>
  <c r="W58" i="3"/>
  <c r="Y58" i="3"/>
  <c r="W59" i="3"/>
  <c r="Y59" i="3"/>
  <c r="W60" i="3"/>
  <c r="Y60" i="3"/>
  <c r="W61" i="3"/>
  <c r="Y61" i="3"/>
  <c r="W62" i="3"/>
  <c r="Y62" i="3"/>
  <c r="W63" i="3"/>
  <c r="Y63" i="3"/>
  <c r="W64" i="3"/>
  <c r="Y64" i="3"/>
  <c r="W65" i="3"/>
  <c r="Y65" i="3"/>
  <c r="W66" i="3"/>
  <c r="Y66" i="3"/>
  <c r="W67" i="3"/>
  <c r="Y67" i="3"/>
  <c r="W68" i="3"/>
  <c r="Y68" i="3"/>
  <c r="W69" i="3"/>
  <c r="Y69" i="3"/>
  <c r="W70" i="3"/>
  <c r="Y70" i="3"/>
  <c r="W71" i="3"/>
  <c r="Y71" i="3"/>
  <c r="W72" i="3"/>
  <c r="Y72" i="3"/>
  <c r="W73" i="3"/>
  <c r="Y73" i="3"/>
  <c r="W74" i="3"/>
  <c r="Y74" i="3"/>
  <c r="W75" i="3"/>
  <c r="Y75" i="3"/>
  <c r="W76" i="3"/>
  <c r="Y76" i="3"/>
  <c r="W77" i="3"/>
  <c r="Y77" i="3"/>
  <c r="W78" i="3"/>
  <c r="Y78" i="3"/>
  <c r="W79" i="3"/>
  <c r="Y79" i="3"/>
  <c r="W80" i="3"/>
  <c r="Y80" i="3"/>
  <c r="W81" i="3"/>
  <c r="Y81" i="3"/>
  <c r="W82" i="3"/>
  <c r="Y82" i="3"/>
  <c r="W83" i="3"/>
  <c r="Y83" i="3"/>
  <c r="W84" i="3"/>
  <c r="Y84" i="3"/>
  <c r="W85" i="3"/>
  <c r="Y85" i="3"/>
  <c r="W86" i="3"/>
  <c r="Y86" i="3"/>
  <c r="W87" i="3"/>
  <c r="Y87" i="3"/>
  <c r="W88" i="3"/>
  <c r="Y88" i="3"/>
  <c r="W89" i="3"/>
  <c r="Y89" i="3"/>
  <c r="W90" i="3"/>
  <c r="Y90" i="3"/>
  <c r="W91" i="3"/>
  <c r="Y91" i="3"/>
  <c r="W92" i="3"/>
  <c r="Y92" i="3"/>
  <c r="W93" i="3"/>
  <c r="Y93" i="3"/>
  <c r="W94" i="3"/>
  <c r="Y94" i="3"/>
  <c r="W95" i="3"/>
  <c r="Y95" i="3"/>
  <c r="W96" i="3"/>
  <c r="Y96" i="3"/>
  <c r="W97" i="3"/>
  <c r="Y97" i="3"/>
  <c r="W98" i="3"/>
  <c r="Y98" i="3"/>
  <c r="W99" i="3"/>
  <c r="Y99" i="3"/>
  <c r="W100" i="3"/>
  <c r="Y100" i="3"/>
  <c r="W101" i="3"/>
  <c r="Y101" i="3"/>
  <c r="W102" i="3"/>
  <c r="Y102" i="3"/>
  <c r="W103" i="3"/>
  <c r="Y103" i="3"/>
  <c r="W104" i="3"/>
  <c r="Y104" i="3"/>
  <c r="W105" i="3"/>
  <c r="Y105" i="3"/>
  <c r="W106" i="3"/>
  <c r="Y106" i="3"/>
  <c r="W107" i="3"/>
  <c r="Y107" i="3"/>
  <c r="W108" i="3"/>
  <c r="Y108" i="3"/>
  <c r="W109" i="3"/>
  <c r="Y109" i="3"/>
  <c r="W110" i="3"/>
  <c r="Y110" i="3"/>
  <c r="W111" i="3"/>
  <c r="Y111" i="3"/>
  <c r="W112" i="3"/>
  <c r="Y112" i="3"/>
  <c r="W113" i="3"/>
  <c r="Y113" i="3"/>
  <c r="W114" i="3"/>
  <c r="Y114" i="3"/>
  <c r="W115" i="3"/>
  <c r="Y115" i="3"/>
  <c r="W116" i="3"/>
  <c r="Y116" i="3"/>
  <c r="W117" i="3"/>
  <c r="Y117" i="3"/>
  <c r="W118" i="3"/>
  <c r="Y118" i="3"/>
  <c r="W119" i="3"/>
  <c r="Y119" i="3"/>
  <c r="W120" i="3"/>
  <c r="Y120" i="3"/>
  <c r="W121" i="3"/>
  <c r="Y121" i="3"/>
  <c r="W122" i="3"/>
  <c r="Y122" i="3"/>
  <c r="W123" i="3"/>
  <c r="Y123" i="3"/>
  <c r="W124" i="3"/>
  <c r="Y124" i="3"/>
  <c r="W125" i="3"/>
  <c r="Y125" i="3"/>
  <c r="W126" i="3"/>
  <c r="Y126" i="3"/>
  <c r="W127" i="3"/>
  <c r="Y127" i="3"/>
  <c r="W128" i="3"/>
  <c r="Y128" i="3"/>
  <c r="W129" i="3"/>
  <c r="Y129" i="3"/>
  <c r="W130" i="3"/>
  <c r="Y130" i="3"/>
  <c r="W131" i="3"/>
  <c r="Y131" i="3"/>
  <c r="W132" i="3"/>
  <c r="Y132" i="3"/>
  <c r="W133" i="3"/>
  <c r="Y133" i="3"/>
  <c r="W134" i="3"/>
  <c r="Y134" i="3"/>
  <c r="W135" i="3"/>
  <c r="Y135" i="3"/>
  <c r="W136" i="3"/>
  <c r="Y136" i="3"/>
  <c r="W137" i="3"/>
  <c r="Y137" i="3"/>
  <c r="W138" i="3"/>
  <c r="Y138" i="3"/>
  <c r="W139" i="3"/>
  <c r="Y139" i="3"/>
  <c r="W140" i="3"/>
  <c r="Y140" i="3"/>
  <c r="W141" i="3"/>
  <c r="Y141" i="3"/>
  <c r="W142" i="3"/>
  <c r="Y142" i="3"/>
  <c r="W143" i="3"/>
  <c r="Y143" i="3"/>
  <c r="W144" i="3"/>
  <c r="Y144" i="3"/>
  <c r="W145" i="3"/>
  <c r="Y145" i="3"/>
  <c r="W146" i="3"/>
  <c r="Y146" i="3"/>
  <c r="W147" i="3"/>
  <c r="Y147" i="3"/>
  <c r="W148" i="3"/>
  <c r="Y148" i="3"/>
  <c r="W149" i="3"/>
  <c r="Y149" i="3"/>
  <c r="W150" i="3"/>
  <c r="Y150" i="3"/>
  <c r="W151" i="3"/>
  <c r="Y151" i="3"/>
  <c r="W152" i="3"/>
  <c r="Y152" i="3"/>
  <c r="W153" i="3"/>
  <c r="Y153" i="3"/>
  <c r="W154" i="3"/>
  <c r="Y154" i="3"/>
  <c r="W155" i="3"/>
  <c r="Y155" i="3"/>
  <c r="W156" i="3"/>
  <c r="Y156" i="3"/>
  <c r="W157" i="3"/>
  <c r="Y157" i="3"/>
  <c r="W158" i="3"/>
  <c r="Y158" i="3"/>
  <c r="W159" i="3"/>
  <c r="Y159" i="3"/>
  <c r="W160" i="3"/>
  <c r="Y160" i="3"/>
  <c r="W161" i="3"/>
  <c r="Y161" i="3"/>
  <c r="W162" i="3"/>
  <c r="Y162" i="3"/>
  <c r="W163" i="3"/>
  <c r="Y163" i="3"/>
  <c r="W164" i="3"/>
  <c r="Y164" i="3"/>
  <c r="W165" i="3"/>
  <c r="Y165" i="3"/>
  <c r="W166" i="3"/>
  <c r="Y166" i="3"/>
  <c r="W167" i="3"/>
  <c r="Y167" i="3"/>
  <c r="W168" i="3"/>
  <c r="Y168" i="3"/>
  <c r="W169" i="3"/>
  <c r="Y169" i="3"/>
  <c r="W170" i="3"/>
  <c r="Y170" i="3"/>
  <c r="W171" i="3"/>
  <c r="Y171" i="3"/>
  <c r="W172" i="3"/>
  <c r="Y172" i="3"/>
  <c r="W173" i="3"/>
  <c r="Y173" i="3"/>
  <c r="W174" i="3"/>
  <c r="Y174" i="3"/>
  <c r="W175" i="3"/>
  <c r="Y175" i="3"/>
  <c r="W176" i="3"/>
  <c r="Y176" i="3"/>
  <c r="W177" i="3"/>
  <c r="Y177" i="3"/>
  <c r="W178" i="3"/>
  <c r="Y178" i="3"/>
  <c r="W179" i="3"/>
  <c r="Y179" i="3"/>
  <c r="W180" i="3"/>
  <c r="Y180" i="3"/>
  <c r="W181" i="3"/>
  <c r="Y181" i="3"/>
  <c r="W182" i="3"/>
  <c r="Y182" i="3"/>
  <c r="W183" i="3"/>
  <c r="Y183" i="3"/>
  <c r="W184" i="3"/>
  <c r="Y184" i="3"/>
  <c r="W185" i="3"/>
  <c r="Y185" i="3"/>
  <c r="W186" i="3"/>
  <c r="Y186" i="3"/>
  <c r="W187" i="3"/>
  <c r="Y187" i="3"/>
  <c r="W188" i="3"/>
  <c r="Y188" i="3"/>
  <c r="W189" i="3"/>
  <c r="Y189" i="3"/>
  <c r="W190" i="3"/>
  <c r="Y190" i="3"/>
  <c r="W191" i="3"/>
  <c r="Y191" i="3"/>
  <c r="W192" i="3"/>
  <c r="Y192" i="3"/>
  <c r="W193" i="3"/>
  <c r="Y193" i="3"/>
  <c r="W194" i="3"/>
  <c r="Y194" i="3"/>
  <c r="W195" i="3"/>
  <c r="Y195" i="3"/>
  <c r="W196" i="3"/>
  <c r="Y196" i="3"/>
  <c r="W197" i="3"/>
  <c r="Y197" i="3"/>
  <c r="W198" i="3"/>
  <c r="Y198" i="3"/>
  <c r="W199" i="3"/>
  <c r="Y199" i="3"/>
  <c r="W200" i="3"/>
  <c r="Y200" i="3"/>
  <c r="W201" i="3"/>
  <c r="Y201" i="3"/>
  <c r="W202" i="3"/>
  <c r="Y202" i="3"/>
  <c r="W203" i="3"/>
  <c r="Y203" i="3"/>
  <c r="W204" i="3"/>
  <c r="Y204" i="3"/>
  <c r="W205" i="3"/>
  <c r="Y205" i="3"/>
  <c r="W206" i="3"/>
  <c r="Y206" i="3"/>
  <c r="W207" i="3"/>
  <c r="Y207" i="3"/>
  <c r="W208" i="3"/>
  <c r="Y208" i="3"/>
  <c r="W209" i="3"/>
  <c r="Y209" i="3"/>
  <c r="W210" i="3"/>
  <c r="Y210" i="3"/>
  <c r="W211" i="3"/>
  <c r="Y211" i="3"/>
  <c r="W212" i="3"/>
  <c r="Y212" i="3"/>
  <c r="W213" i="3"/>
  <c r="Y213" i="3"/>
  <c r="W214" i="3"/>
  <c r="Y214" i="3"/>
  <c r="W215" i="3"/>
  <c r="Y215" i="3"/>
  <c r="W216" i="3"/>
  <c r="Y216" i="3"/>
  <c r="W217" i="3"/>
  <c r="Y217" i="3"/>
  <c r="W218" i="3"/>
  <c r="Y218" i="3"/>
  <c r="W219" i="3"/>
  <c r="Y219" i="3"/>
  <c r="W220" i="3"/>
  <c r="Y220" i="3"/>
  <c r="W221" i="3"/>
  <c r="Y221" i="3"/>
  <c r="W222" i="3"/>
  <c r="Y222" i="3"/>
  <c r="W223" i="3"/>
  <c r="Y223" i="3"/>
  <c r="W224" i="3"/>
  <c r="Y224" i="3"/>
  <c r="W225" i="3"/>
  <c r="Y225" i="3"/>
  <c r="W226" i="3"/>
  <c r="Y226" i="3"/>
  <c r="W227" i="3"/>
  <c r="Y227" i="3"/>
  <c r="W228" i="3"/>
  <c r="Y228" i="3"/>
  <c r="W229" i="3"/>
  <c r="Y229" i="3"/>
  <c r="W230" i="3"/>
  <c r="Y230" i="3"/>
  <c r="W231" i="3"/>
  <c r="Y231" i="3"/>
  <c r="W232" i="3"/>
  <c r="Y232" i="3"/>
  <c r="W233" i="3"/>
  <c r="Y233" i="3"/>
  <c r="W234" i="3"/>
  <c r="Y234" i="3"/>
  <c r="W235" i="3"/>
  <c r="Y235" i="3"/>
  <c r="W236" i="3"/>
  <c r="Y236" i="3"/>
  <c r="W237" i="3"/>
  <c r="Y237" i="3"/>
  <c r="W238" i="3"/>
  <c r="Y238" i="3"/>
  <c r="W239" i="3"/>
  <c r="Y239" i="3"/>
  <c r="W240" i="3"/>
  <c r="Y240" i="3"/>
  <c r="W241" i="3"/>
  <c r="Y241" i="3"/>
  <c r="W242" i="3"/>
  <c r="Y242" i="3"/>
  <c r="W243" i="3"/>
  <c r="Y243" i="3"/>
  <c r="W244" i="3"/>
  <c r="Y244" i="3"/>
  <c r="W245" i="3"/>
  <c r="Y245" i="3"/>
  <c r="W246" i="3"/>
  <c r="Y246" i="3"/>
  <c r="W247" i="3"/>
  <c r="Y247" i="3"/>
  <c r="W248" i="3"/>
  <c r="Y248" i="3"/>
  <c r="W249" i="3"/>
  <c r="Y249" i="3"/>
  <c r="W250" i="3"/>
  <c r="Y250" i="3"/>
  <c r="W251" i="3"/>
  <c r="Y251" i="3"/>
  <c r="W252" i="3"/>
  <c r="Y252" i="3"/>
  <c r="W253" i="3"/>
  <c r="Y253" i="3"/>
  <c r="W254" i="3"/>
  <c r="Y254" i="3"/>
  <c r="W255" i="3"/>
  <c r="Y255" i="3"/>
  <c r="W256" i="3"/>
  <c r="Y256" i="3"/>
  <c r="W257" i="3"/>
  <c r="Y257" i="3"/>
  <c r="W258" i="3"/>
  <c r="Y258" i="3"/>
  <c r="W259" i="3"/>
  <c r="Y259" i="3"/>
  <c r="W260" i="3"/>
  <c r="Y260" i="3"/>
  <c r="W261" i="3"/>
  <c r="Y261" i="3"/>
  <c r="W262" i="3"/>
  <c r="Y262" i="3"/>
  <c r="W263" i="3"/>
  <c r="Y263" i="3"/>
  <c r="W264" i="3"/>
  <c r="Y264" i="3"/>
  <c r="W265" i="3"/>
  <c r="Y265" i="3"/>
  <c r="W266" i="3"/>
  <c r="Y266" i="3"/>
  <c r="W267" i="3"/>
  <c r="Y267" i="3"/>
  <c r="W268" i="3"/>
  <c r="Y268" i="3"/>
  <c r="W269" i="3"/>
  <c r="Y269" i="3"/>
  <c r="W270" i="3"/>
  <c r="Y270" i="3"/>
  <c r="W271" i="3"/>
  <c r="Y271" i="3"/>
  <c r="W272" i="3"/>
  <c r="Y272" i="3"/>
  <c r="W273" i="3"/>
  <c r="Y273" i="3"/>
  <c r="W274" i="3"/>
  <c r="Y274" i="3"/>
  <c r="W275" i="3"/>
  <c r="Y275" i="3"/>
  <c r="W276" i="3"/>
  <c r="Y276" i="3"/>
  <c r="W277" i="3"/>
  <c r="Y277" i="3"/>
  <c r="W278" i="3"/>
  <c r="Y278" i="3"/>
  <c r="W279" i="3"/>
  <c r="Y279" i="3"/>
  <c r="W280" i="3"/>
  <c r="Y280" i="3"/>
  <c r="W281" i="3"/>
  <c r="Y281" i="3"/>
  <c r="W282" i="3"/>
  <c r="Y282" i="3"/>
  <c r="W283" i="3"/>
  <c r="Y283" i="3"/>
  <c r="W284" i="3"/>
  <c r="Y284" i="3"/>
  <c r="W285" i="3"/>
  <c r="Y285" i="3"/>
  <c r="W286" i="3"/>
  <c r="Y286" i="3"/>
  <c r="W287" i="3"/>
  <c r="Y287" i="3"/>
  <c r="W288" i="3"/>
  <c r="Y288" i="3"/>
  <c r="W289" i="3"/>
  <c r="Y289" i="3"/>
  <c r="W290" i="3"/>
  <c r="Y290" i="3"/>
  <c r="W291" i="3"/>
  <c r="Y291" i="3"/>
  <c r="W292" i="3"/>
  <c r="Y292" i="3"/>
  <c r="W293" i="3"/>
  <c r="Y293" i="3"/>
  <c r="W294" i="3"/>
  <c r="Y294" i="3"/>
  <c r="W295" i="3"/>
  <c r="Y295" i="3"/>
  <c r="W296" i="3"/>
  <c r="Y296" i="3"/>
  <c r="W297" i="3"/>
  <c r="Y297" i="3"/>
  <c r="W298" i="3"/>
  <c r="Y298" i="3"/>
  <c r="W299" i="3"/>
  <c r="Y299" i="3"/>
  <c r="W300" i="3"/>
  <c r="Y300" i="3"/>
  <c r="W301" i="3"/>
  <c r="Y301" i="3"/>
  <c r="W302" i="3"/>
  <c r="Y302" i="3"/>
  <c r="W303" i="3"/>
  <c r="Y303" i="3"/>
  <c r="W304" i="3"/>
  <c r="Y304" i="3"/>
  <c r="W305" i="3"/>
  <c r="Y305" i="3"/>
  <c r="W306" i="3"/>
  <c r="Y306" i="3"/>
  <c r="W307" i="3"/>
  <c r="Y307" i="3"/>
  <c r="W308" i="3"/>
  <c r="Y308" i="3"/>
  <c r="W309" i="3"/>
  <c r="Y309" i="3"/>
  <c r="W310" i="3"/>
  <c r="Y310" i="3"/>
  <c r="W311" i="3"/>
  <c r="Y311" i="3"/>
  <c r="W312" i="3"/>
  <c r="Y312" i="3"/>
  <c r="W313" i="3"/>
  <c r="Y313" i="3"/>
  <c r="W314" i="3"/>
  <c r="Y314" i="3"/>
  <c r="W315" i="3"/>
  <c r="Y315" i="3"/>
  <c r="W316" i="3"/>
  <c r="Y316" i="3"/>
  <c r="W317" i="3"/>
  <c r="Y317" i="3"/>
  <c r="W318" i="3"/>
  <c r="Y318" i="3"/>
  <c r="W319" i="3"/>
  <c r="Y319" i="3"/>
  <c r="W320" i="3"/>
  <c r="Y320" i="3"/>
  <c r="W321" i="3"/>
  <c r="Y321" i="3"/>
  <c r="W322" i="3"/>
  <c r="Y322" i="3"/>
  <c r="W323" i="3"/>
  <c r="Y323" i="3"/>
  <c r="W324" i="3"/>
  <c r="Y324" i="3"/>
  <c r="W325" i="3"/>
  <c r="Y325" i="3"/>
  <c r="W326" i="3"/>
  <c r="Y326" i="3"/>
  <c r="W327" i="3"/>
  <c r="Y327" i="3"/>
  <c r="W328" i="3"/>
  <c r="Y328" i="3"/>
  <c r="W329" i="3"/>
  <c r="Y329" i="3"/>
  <c r="W330" i="3"/>
  <c r="Y330" i="3"/>
  <c r="W331" i="3"/>
  <c r="Y331" i="3"/>
  <c r="W332" i="3"/>
  <c r="Y332" i="3"/>
  <c r="W333" i="3"/>
  <c r="Y333" i="3"/>
  <c r="W334" i="3"/>
  <c r="Y334" i="3"/>
  <c r="W335" i="3"/>
  <c r="Y335" i="3"/>
  <c r="W336" i="3"/>
  <c r="Y336" i="3"/>
  <c r="W337" i="3"/>
  <c r="Y337" i="3"/>
  <c r="W338" i="3"/>
  <c r="Y338" i="3"/>
  <c r="W339" i="3"/>
  <c r="Y339" i="3"/>
  <c r="W340" i="3"/>
  <c r="Y340" i="3"/>
  <c r="W341" i="3"/>
  <c r="Y341" i="3"/>
  <c r="W342" i="3"/>
  <c r="Y342" i="3"/>
  <c r="W343" i="3"/>
  <c r="Y343" i="3"/>
  <c r="W344" i="3"/>
  <c r="Y344" i="3"/>
  <c r="W345" i="3"/>
  <c r="Y345" i="3"/>
  <c r="W346" i="3"/>
  <c r="Y346" i="3"/>
  <c r="W347" i="3"/>
  <c r="Y347" i="3"/>
  <c r="W348" i="3"/>
  <c r="Y348" i="3"/>
  <c r="W349" i="3"/>
  <c r="Y349" i="3"/>
  <c r="W350" i="3"/>
  <c r="Y350" i="3"/>
  <c r="W351" i="3"/>
  <c r="Y351" i="3"/>
  <c r="W352" i="3"/>
  <c r="Y352" i="3"/>
  <c r="W353" i="3"/>
  <c r="Y353" i="3"/>
  <c r="W354" i="3"/>
  <c r="Y354" i="3"/>
  <c r="W355" i="3"/>
  <c r="Y355" i="3"/>
  <c r="W356" i="3"/>
  <c r="Y356" i="3"/>
  <c r="W357" i="3"/>
  <c r="Y357" i="3"/>
  <c r="W358" i="3"/>
  <c r="Y358" i="3"/>
  <c r="W359" i="3"/>
  <c r="Y359" i="3"/>
  <c r="W360" i="3"/>
  <c r="Y360" i="3"/>
  <c r="W361" i="3"/>
  <c r="Y361" i="3"/>
  <c r="W362" i="3"/>
  <c r="Y362" i="3"/>
  <c r="W363" i="3"/>
  <c r="Y363" i="3"/>
  <c r="W364" i="3"/>
  <c r="Y364" i="3"/>
  <c r="W365" i="3"/>
  <c r="Y365" i="3"/>
  <c r="W366" i="3"/>
  <c r="Y366" i="3"/>
  <c r="W367" i="3"/>
  <c r="Y367" i="3"/>
  <c r="W368" i="3"/>
  <c r="Y368" i="3"/>
  <c r="W369" i="3"/>
  <c r="Y369" i="3"/>
  <c r="W370" i="3"/>
  <c r="Y370" i="3"/>
  <c r="W371" i="3"/>
  <c r="Y371" i="3"/>
  <c r="W372" i="3"/>
  <c r="Y372" i="3"/>
  <c r="W373" i="3"/>
  <c r="Y373" i="3"/>
  <c r="W374" i="3"/>
  <c r="Y374" i="3"/>
  <c r="W375" i="3"/>
  <c r="Y375" i="3"/>
  <c r="W376" i="3"/>
  <c r="Y376" i="3"/>
  <c r="W377" i="3"/>
  <c r="Y377" i="3"/>
  <c r="W378" i="3"/>
  <c r="Y378" i="3"/>
  <c r="W379" i="3"/>
  <c r="Y379" i="3"/>
  <c r="W380" i="3"/>
  <c r="Y380" i="3"/>
  <c r="W381" i="3"/>
  <c r="Y381" i="3"/>
  <c r="W382" i="3"/>
  <c r="Y382" i="3"/>
  <c r="W383" i="3"/>
  <c r="Y383" i="3"/>
  <c r="W384" i="3"/>
  <c r="Y384" i="3"/>
  <c r="W385" i="3"/>
  <c r="Y385" i="3"/>
  <c r="W386" i="3"/>
  <c r="Y386" i="3"/>
  <c r="W387" i="3"/>
  <c r="Y387" i="3"/>
  <c r="W388" i="3"/>
  <c r="Y388" i="3"/>
  <c r="W389" i="3"/>
  <c r="Y389" i="3"/>
  <c r="W390" i="3"/>
  <c r="Y390" i="3"/>
  <c r="W391" i="3"/>
  <c r="Y391" i="3"/>
  <c r="W392" i="3"/>
  <c r="Y392" i="3"/>
  <c r="W393" i="3"/>
  <c r="Y393" i="3"/>
  <c r="W394" i="3"/>
  <c r="Y394" i="3"/>
  <c r="W395" i="3"/>
  <c r="Y395" i="3"/>
  <c r="W396" i="3"/>
  <c r="Y396" i="3"/>
  <c r="W397" i="3"/>
  <c r="Y397" i="3"/>
  <c r="W398" i="3"/>
  <c r="Y398" i="3"/>
  <c r="W399" i="3"/>
  <c r="Y399" i="3"/>
  <c r="W400" i="3"/>
  <c r="Y400" i="3"/>
  <c r="W401" i="3"/>
  <c r="Y401" i="3"/>
  <c r="W402" i="3"/>
  <c r="Y402" i="3"/>
  <c r="W403" i="3"/>
  <c r="Y403" i="3"/>
  <c r="W404" i="3"/>
  <c r="Y404" i="3"/>
  <c r="W405" i="3"/>
  <c r="Y405" i="3"/>
  <c r="W406" i="3"/>
  <c r="Y406" i="3"/>
  <c r="W407" i="3"/>
  <c r="Y407" i="3"/>
  <c r="W408" i="3"/>
  <c r="Y408" i="3"/>
  <c r="W409" i="3"/>
  <c r="Y409" i="3"/>
  <c r="W410" i="3"/>
  <c r="Y410" i="3"/>
  <c r="W411" i="3"/>
  <c r="Y411" i="3"/>
  <c r="W412" i="3"/>
  <c r="Y412" i="3"/>
  <c r="W413" i="3"/>
  <c r="Y413" i="3"/>
  <c r="W414" i="3"/>
  <c r="Y414" i="3"/>
  <c r="W415" i="3"/>
  <c r="Y415" i="3"/>
  <c r="W416" i="3"/>
  <c r="Y416" i="3"/>
  <c r="W417" i="3"/>
  <c r="Y417" i="3"/>
  <c r="W418" i="3"/>
  <c r="Y418" i="3"/>
  <c r="W419" i="3"/>
  <c r="Y419" i="3"/>
  <c r="W420" i="3"/>
  <c r="Y420" i="3"/>
  <c r="W421" i="3"/>
  <c r="Y421" i="3"/>
  <c r="W422" i="3"/>
  <c r="Y422" i="3"/>
  <c r="W423" i="3"/>
  <c r="Y423" i="3"/>
  <c r="W424" i="3"/>
  <c r="Y424" i="3"/>
  <c r="W425" i="3"/>
  <c r="Y425" i="3"/>
  <c r="W426" i="3"/>
  <c r="Y426" i="3"/>
  <c r="W427" i="3"/>
  <c r="Y427" i="3"/>
  <c r="W428" i="3"/>
  <c r="Y428" i="3"/>
  <c r="W429" i="3"/>
  <c r="Y429" i="3"/>
  <c r="W430" i="3"/>
  <c r="Y430" i="3"/>
  <c r="W431" i="3"/>
  <c r="Y431" i="3"/>
  <c r="W432" i="3"/>
  <c r="Y432" i="3"/>
  <c r="W433" i="3"/>
  <c r="Y433" i="3"/>
  <c r="W434" i="3"/>
  <c r="Y434" i="3"/>
  <c r="W435" i="3"/>
  <c r="Y435" i="3"/>
  <c r="W436" i="3"/>
  <c r="Y436" i="3"/>
  <c r="W437" i="3"/>
  <c r="Y437" i="3"/>
  <c r="W438" i="3"/>
  <c r="Y438" i="3"/>
  <c r="W439" i="3"/>
  <c r="Y439" i="3"/>
  <c r="W440" i="3"/>
  <c r="Y440" i="3"/>
  <c r="W441" i="3"/>
  <c r="Y441" i="3"/>
  <c r="W442" i="3"/>
  <c r="Y442" i="3"/>
  <c r="W443" i="3"/>
  <c r="Y443" i="3"/>
  <c r="W444" i="3"/>
  <c r="Y444" i="3"/>
  <c r="W445" i="3"/>
  <c r="Y445" i="3"/>
  <c r="W446" i="3"/>
  <c r="Y446" i="3"/>
  <c r="W447" i="3"/>
  <c r="Y447" i="3"/>
  <c r="W448" i="3"/>
  <c r="Y448" i="3"/>
  <c r="W449" i="3"/>
  <c r="Y449" i="3"/>
  <c r="W450" i="3"/>
  <c r="Y450" i="3"/>
  <c r="W451" i="3"/>
  <c r="Y451" i="3"/>
  <c r="W452" i="3"/>
  <c r="Y452" i="3"/>
  <c r="W453" i="3"/>
  <c r="Y453" i="3"/>
  <c r="W454" i="3"/>
  <c r="Y454" i="3"/>
  <c r="W455" i="3"/>
  <c r="Y455" i="3"/>
  <c r="W456" i="3"/>
  <c r="Y456" i="3"/>
  <c r="W457" i="3"/>
  <c r="Y457" i="3"/>
  <c r="W458" i="3"/>
  <c r="Y458" i="3"/>
  <c r="W459" i="3"/>
  <c r="Y459" i="3"/>
  <c r="W460" i="3"/>
  <c r="Y460" i="3"/>
  <c r="W461" i="3"/>
  <c r="Y461" i="3"/>
  <c r="W462" i="3"/>
  <c r="Y462" i="3"/>
  <c r="W463" i="3"/>
  <c r="Y463" i="3"/>
  <c r="W464" i="3"/>
  <c r="Y464" i="3"/>
  <c r="W465" i="3"/>
  <c r="Y465" i="3"/>
  <c r="W466" i="3"/>
  <c r="Y466" i="3"/>
  <c r="W467" i="3"/>
  <c r="Y467" i="3"/>
  <c r="W468" i="3"/>
  <c r="Y468" i="3"/>
  <c r="W469" i="3"/>
  <c r="Y469" i="3"/>
  <c r="W470" i="3"/>
  <c r="Y470" i="3"/>
  <c r="W471" i="3"/>
  <c r="Y471" i="3"/>
  <c r="W472" i="3"/>
  <c r="Y472" i="3"/>
  <c r="W473" i="3"/>
  <c r="Y473" i="3"/>
  <c r="W474" i="3"/>
  <c r="Y474" i="3"/>
  <c r="W475" i="3"/>
  <c r="Y475" i="3"/>
  <c r="W476" i="3"/>
  <c r="Y476" i="3"/>
  <c r="W477" i="3"/>
  <c r="Y477" i="3"/>
  <c r="W478" i="3"/>
  <c r="Y478" i="3"/>
  <c r="W479" i="3"/>
  <c r="Y479" i="3"/>
  <c r="W480" i="3"/>
  <c r="Y480" i="3"/>
  <c r="W481" i="3"/>
  <c r="Y481" i="3"/>
  <c r="W482" i="3"/>
  <c r="Y482" i="3"/>
  <c r="W483" i="3"/>
  <c r="Y483" i="3"/>
  <c r="W484" i="3"/>
  <c r="Y484" i="3"/>
  <c r="W485" i="3"/>
  <c r="Y485" i="3"/>
  <c r="W486" i="3"/>
  <c r="Y486" i="3"/>
  <c r="W487" i="3"/>
  <c r="Y487" i="3"/>
  <c r="W488" i="3"/>
  <c r="Y488" i="3"/>
  <c r="W489" i="3"/>
  <c r="Y489" i="3"/>
  <c r="W490" i="3"/>
  <c r="Y490" i="3"/>
  <c r="W491" i="3"/>
  <c r="Y491" i="3"/>
  <c r="W492" i="3"/>
  <c r="Y492" i="3"/>
  <c r="W493" i="3"/>
  <c r="Y493" i="3"/>
  <c r="W494" i="3"/>
  <c r="Y494" i="3"/>
  <c r="W495" i="3"/>
  <c r="Y495" i="3"/>
  <c r="W496" i="3"/>
  <c r="Y496" i="3"/>
  <c r="W497" i="3"/>
  <c r="Y497" i="3"/>
  <c r="W498" i="3"/>
  <c r="Y498" i="3"/>
  <c r="W499" i="3"/>
  <c r="Y499" i="3"/>
  <c r="W500" i="3"/>
  <c r="Y500" i="3"/>
  <c r="W501" i="3"/>
  <c r="Y501" i="3"/>
  <c r="W502" i="3"/>
  <c r="Y502" i="3"/>
  <c r="W503" i="3"/>
  <c r="Y503" i="3"/>
  <c r="W504" i="3"/>
  <c r="Y504" i="3"/>
  <c r="W505" i="3"/>
  <c r="Y505" i="3"/>
  <c r="W506" i="3"/>
  <c r="Y506" i="3"/>
  <c r="W507" i="3"/>
  <c r="Y507" i="3"/>
  <c r="W508" i="3"/>
  <c r="Y508" i="3"/>
  <c r="W509" i="3"/>
  <c r="Y509" i="3"/>
  <c r="W510" i="3"/>
  <c r="Y510" i="3"/>
  <c r="W511" i="3"/>
  <c r="Y511" i="3"/>
  <c r="W512" i="3"/>
  <c r="Y512" i="3"/>
  <c r="W513" i="3"/>
  <c r="Y513" i="3"/>
  <c r="W514" i="3"/>
  <c r="Y514" i="3"/>
  <c r="W515" i="3"/>
  <c r="Y515" i="3"/>
  <c r="W516" i="3"/>
  <c r="Y516" i="3"/>
  <c r="W517" i="3"/>
  <c r="Y517" i="3"/>
  <c r="W518" i="3"/>
  <c r="Y518" i="3"/>
  <c r="W519" i="3"/>
  <c r="Y519" i="3"/>
  <c r="W520" i="3"/>
  <c r="Y520" i="3"/>
  <c r="W521" i="3"/>
  <c r="Y521" i="3"/>
  <c r="W522" i="3"/>
  <c r="Y522" i="3"/>
  <c r="W523" i="3"/>
  <c r="Y523" i="3"/>
  <c r="W524" i="3"/>
  <c r="Y524" i="3"/>
  <c r="W525" i="3"/>
  <c r="Y525" i="3"/>
  <c r="W526" i="3"/>
  <c r="Y526" i="3"/>
  <c r="W527" i="3"/>
  <c r="Y527" i="3"/>
  <c r="W528" i="3"/>
  <c r="Y528" i="3"/>
  <c r="W529" i="3"/>
  <c r="Y529" i="3"/>
  <c r="W530" i="3"/>
  <c r="Y530" i="3"/>
  <c r="D7" i="13"/>
  <c r="D8" i="13"/>
  <c r="D9" i="13"/>
  <c r="B2" i="8"/>
  <c r="C7" i="8"/>
  <c r="D13" i="8" s="1"/>
  <c r="D16" i="8" s="1"/>
  <c r="C8" i="8"/>
  <c r="C9" i="8"/>
  <c r="E11" i="8"/>
  <c r="F11" i="8" s="1"/>
  <c r="G11" i="8" s="1"/>
  <c r="H11" i="8" s="1"/>
  <c r="I11" i="8" s="1"/>
  <c r="D15" i="8"/>
  <c r="E15" i="8"/>
  <c r="F15" i="8" s="1"/>
  <c r="G15" i="8" s="1"/>
  <c r="H15" i="8" s="1"/>
  <c r="I15" i="8" s="1"/>
  <c r="D22" i="8"/>
  <c r="E22" i="8" s="1"/>
  <c r="F22" i="8" s="1"/>
  <c r="G22" i="8" s="1"/>
  <c r="H22" i="8" s="1"/>
  <c r="I22" i="8" s="1"/>
  <c r="D29" i="8"/>
  <c r="B2" i="2"/>
  <c r="E11" i="2"/>
  <c r="F11" i="2" s="1"/>
  <c r="G11" i="2" s="1"/>
  <c r="H11" i="2" s="1"/>
  <c r="I11" i="2" s="1"/>
  <c r="D13" i="2"/>
  <c r="D18" i="2"/>
  <c r="E18" i="2" s="1"/>
  <c r="F18" i="2" s="1"/>
  <c r="G18" i="2" s="1"/>
  <c r="H18" i="2" s="1"/>
  <c r="I18" i="2" s="1"/>
  <c r="D28" i="2"/>
  <c r="E28" i="2" s="1"/>
  <c r="F28" i="2" s="1"/>
  <c r="G28" i="2" s="1"/>
  <c r="H28" i="2" s="1"/>
  <c r="I28" i="2" s="1"/>
  <c r="D45" i="2"/>
  <c r="D8" i="11"/>
  <c r="D9" i="11"/>
  <c r="D10" i="11" s="1"/>
  <c r="D11" i="11" s="1"/>
  <c r="M27" i="3" l="1"/>
  <c r="D20" i="3"/>
  <c r="D12" i="11"/>
  <c r="B2" i="3"/>
  <c r="P10" i="4"/>
  <c r="Q11" i="4"/>
  <c r="R11" i="4" s="1"/>
  <c r="S11" i="4" s="1"/>
  <c r="Q25" i="3"/>
  <c r="M28" i="3" s="1"/>
  <c r="J12" i="3" s="1"/>
  <c r="J11" i="3"/>
  <c r="D10" i="3" s="1"/>
  <c r="D14" i="3" s="1"/>
  <c r="D19" i="2"/>
  <c r="D22" i="2" s="1"/>
  <c r="D23" i="2" s="1"/>
  <c r="B2" i="13"/>
  <c r="E21" i="2" l="1"/>
  <c r="I7" i="2"/>
  <c r="D10" i="13"/>
  <c r="I8" i="2"/>
  <c r="D25" i="3"/>
  <c r="Q10" i="4"/>
  <c r="P8" i="4"/>
  <c r="Q12" i="4"/>
  <c r="D13" i="11"/>
  <c r="B2" i="4" s="1"/>
  <c r="E13" i="8" l="1"/>
  <c r="E16" i="8" s="1"/>
  <c r="P9" i="4"/>
  <c r="E13" i="2"/>
  <c r="R10" i="4"/>
  <c r="Q8" i="4"/>
  <c r="R12" i="4"/>
  <c r="D14" i="2"/>
  <c r="D15" i="2" s="1"/>
  <c r="D29" i="2"/>
  <c r="E14" i="2"/>
  <c r="E29" i="2"/>
  <c r="F29" i="2"/>
  <c r="H29" i="2"/>
  <c r="I29" i="2"/>
  <c r="G29" i="2"/>
  <c r="H8" i="13"/>
  <c r="I8" i="8"/>
  <c r="I9" i="2"/>
  <c r="H7" i="13"/>
  <c r="D14" i="13" s="1"/>
  <c r="I7" i="8"/>
  <c r="D31" i="2" l="1"/>
  <c r="E15" i="2"/>
  <c r="E19" i="2"/>
  <c r="E22" i="2" s="1"/>
  <c r="E23" i="2" s="1"/>
  <c r="F21" i="2" s="1"/>
  <c r="S10" i="4"/>
  <c r="R8" i="4"/>
  <c r="S12" i="4"/>
  <c r="I9" i="8"/>
  <c r="D23" i="8"/>
  <c r="D25" i="8" s="1"/>
  <c r="E23" i="8"/>
  <c r="E25" i="8" s="1"/>
  <c r="F23" i="8"/>
  <c r="G23" i="8"/>
  <c r="H23" i="8"/>
  <c r="I23" i="8"/>
  <c r="D16" i="13"/>
  <c r="D12" i="13"/>
  <c r="Q9" i="4"/>
  <c r="F13" i="2"/>
  <c r="F13" i="8"/>
  <c r="F16" i="8" s="1"/>
  <c r="F25" i="8" s="1"/>
  <c r="E31" i="2"/>
  <c r="F14" i="2" l="1"/>
  <c r="F15" i="2" s="1"/>
  <c r="T10" i="4"/>
  <c r="S8" i="4"/>
  <c r="T12" i="4"/>
  <c r="F19" i="2"/>
  <c r="F22" i="2"/>
  <c r="F23" i="2" s="1"/>
  <c r="G21" i="2" s="1"/>
  <c r="G13" i="2"/>
  <c r="R9" i="4"/>
  <c r="G13" i="8"/>
  <c r="G16" i="8" s="1"/>
  <c r="G25" i="8" s="1"/>
  <c r="G14" i="2" l="1"/>
  <c r="F31" i="2"/>
  <c r="H13" i="2"/>
  <c r="S9" i="4"/>
  <c r="H13" i="8"/>
  <c r="H16" i="8" s="1"/>
  <c r="H25" i="8" s="1"/>
  <c r="T8" i="4"/>
  <c r="G19" i="2"/>
  <c r="G15" i="2"/>
  <c r="G31" i="2" s="1"/>
  <c r="G22" i="2"/>
  <c r="G23" i="2" s="1"/>
  <c r="H21" i="2" s="1"/>
  <c r="H14" i="2" l="1"/>
  <c r="I13" i="2"/>
  <c r="T9" i="4"/>
  <c r="I13" i="8"/>
  <c r="I16" i="8" s="1"/>
  <c r="H15" i="2"/>
  <c r="H19" i="2"/>
  <c r="H22" i="2"/>
  <c r="H23" i="2" s="1"/>
  <c r="I21" i="2" s="1"/>
  <c r="I14" i="2" l="1"/>
  <c r="H31" i="2"/>
  <c r="I17" i="8"/>
  <c r="I26" i="8" s="1"/>
  <c r="I25" i="8"/>
  <c r="I19" i="2"/>
  <c r="I22" i="2" s="1"/>
  <c r="I23" i="2" s="1"/>
  <c r="I15" i="2"/>
  <c r="I16" i="2" l="1"/>
  <c r="I32" i="2" s="1"/>
  <c r="I31" i="2"/>
  <c r="D28" i="8"/>
  <c r="D31" i="8" s="1"/>
  <c r="D34" i="2" l="1"/>
  <c r="D35" i="2" s="1"/>
  <c r="D39" i="2" s="1"/>
  <c r="D18" i="13" s="1"/>
  <c r="D42" i="2"/>
  <c r="D49" i="2" s="1"/>
  <c r="D46" i="2"/>
  <c r="J14" i="3"/>
  <c r="J15" i="3"/>
  <c r="D19" i="13"/>
  <c r="D41" i="2" l="1"/>
  <c r="D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<sst xmlns="http://schemas.openxmlformats.org/spreadsheetml/2006/main" count="713" uniqueCount="672">
  <si>
    <t>Table of Contents</t>
  </si>
  <si>
    <t>Particulars</t>
  </si>
  <si>
    <t>Exihibit No.</t>
  </si>
  <si>
    <t>Excess Return Model</t>
  </si>
  <si>
    <t>Dividend Discount Model</t>
  </si>
  <si>
    <t>Ratios</t>
  </si>
  <si>
    <t>Dupont Analysis</t>
  </si>
  <si>
    <t>Weighted Average Cost of Capital</t>
  </si>
  <si>
    <t>Sensitivity Analysis</t>
  </si>
  <si>
    <t>Regression Analysis</t>
  </si>
  <si>
    <t>(In INR bn.)</t>
  </si>
  <si>
    <t>Assumptions</t>
  </si>
  <si>
    <t>Average Net Profit Margin (5yr)</t>
  </si>
  <si>
    <t>Return on Equity</t>
  </si>
  <si>
    <t>Current DPR</t>
  </si>
  <si>
    <t>Cost of Equity</t>
  </si>
  <si>
    <t>Target DPR</t>
  </si>
  <si>
    <t>Sustainable Growth Rate</t>
  </si>
  <si>
    <t>Fiscal Year ending March</t>
  </si>
  <si>
    <t>Net Income</t>
  </si>
  <si>
    <t>less: Cost of Equity</t>
  </si>
  <si>
    <t>Excess Return</t>
  </si>
  <si>
    <t>Terminal Value of Excess Return</t>
  </si>
  <si>
    <t>Dividend Payout Ratio</t>
  </si>
  <si>
    <t>Dividends</t>
  </si>
  <si>
    <t>Beginning Book Value</t>
  </si>
  <si>
    <t>add: Retained Earnings</t>
  </si>
  <si>
    <t>Ending Book Value</t>
  </si>
  <si>
    <t>Valuation Date</t>
  </si>
  <si>
    <t>Fiscal Year end date after Valuation Date</t>
  </si>
  <si>
    <t>Year Frac</t>
  </si>
  <si>
    <t>Discount Factor</t>
  </si>
  <si>
    <t>PV of Excess Return</t>
  </si>
  <si>
    <t>PV of Terminal Excess Return</t>
  </si>
  <si>
    <t>Total PV of Excess Return</t>
  </si>
  <si>
    <t>Total Equity Value</t>
  </si>
  <si>
    <t>Shares Outstanding</t>
  </si>
  <si>
    <t>Implied Share Price</t>
  </si>
  <si>
    <t>INR, bull</t>
  </si>
  <si>
    <t>INR, bear</t>
  </si>
  <si>
    <t>Range</t>
  </si>
  <si>
    <t>INR/USD, 15 Oct 25</t>
  </si>
  <si>
    <t>INR, base</t>
  </si>
  <si>
    <t>USD, bull</t>
  </si>
  <si>
    <t>USD, bear</t>
  </si>
  <si>
    <t>Terminal Value of Dividends</t>
  </si>
  <si>
    <t>PV of Dividends</t>
  </si>
  <si>
    <t>Total PV of Dividends</t>
  </si>
  <si>
    <t>Shares O/S</t>
  </si>
  <si>
    <t>BVPS</t>
  </si>
  <si>
    <t>Justified PE</t>
  </si>
  <si>
    <t>Justified PB</t>
  </si>
  <si>
    <t>Justified Dividend Yield</t>
  </si>
  <si>
    <t>P/B using ERM</t>
  </si>
  <si>
    <t>P/B using DDM</t>
  </si>
  <si>
    <t>Cost of Equity - Capital Asset Pricing Model</t>
  </si>
  <si>
    <t>Beta Selection Criteria</t>
  </si>
  <si>
    <t>Beta Calculation</t>
  </si>
  <si>
    <t>Date</t>
  </si>
  <si>
    <t>Sensex</t>
  </si>
  <si>
    <t>%Change</t>
  </si>
  <si>
    <t>ICICI</t>
  </si>
  <si>
    <t>Using 5yr Daily Returns</t>
  </si>
  <si>
    <t>Risk Free Rate</t>
  </si>
  <si>
    <t>[1]</t>
  </si>
  <si>
    <t>Switch</t>
  </si>
  <si>
    <t>ICICI's Levered Beta</t>
  </si>
  <si>
    <t>Co. Name</t>
  </si>
  <si>
    <t>Market Cap</t>
  </si>
  <si>
    <t>Levered Beta</t>
  </si>
  <si>
    <t>Total Debt</t>
  </si>
  <si>
    <t>Total Equity</t>
  </si>
  <si>
    <t>Debt-to-Equity</t>
  </si>
  <si>
    <t>Effective Tax</t>
  </si>
  <si>
    <t>Weights</t>
  </si>
  <si>
    <t>Oct 26 2015</t>
  </si>
  <si>
    <t>raw beta</t>
  </si>
  <si>
    <t>Beta</t>
  </si>
  <si>
    <t>ICICI Bank</t>
  </si>
  <si>
    <t>Nov 02 2015</t>
  </si>
  <si>
    <t>adjusted beta</t>
  </si>
  <si>
    <t>Expected Return from Equity Market</t>
  </si>
  <si>
    <t>Nov 09 2015</t>
  </si>
  <si>
    <t>Equity Risk Premium</t>
  </si>
  <si>
    <t>[2]</t>
  </si>
  <si>
    <t>Peer's Median Levered Beta</t>
  </si>
  <si>
    <t>Peers:</t>
  </si>
  <si>
    <t>Nov 16 2015</t>
  </si>
  <si>
    <t>10yr CAGR</t>
  </si>
  <si>
    <t>Country Risk Premium</t>
  </si>
  <si>
    <t>[3]</t>
  </si>
  <si>
    <t>HDFC Bank</t>
  </si>
  <si>
    <t>Nov 23 2015</t>
  </si>
  <si>
    <t xml:space="preserve">Cost of Equity </t>
  </si>
  <si>
    <t>Share Price using ERM</t>
  </si>
  <si>
    <t>State Bank of India</t>
  </si>
  <si>
    <t>Nov 30 2015</t>
  </si>
  <si>
    <t>Share Price using DDM</t>
  </si>
  <si>
    <t>Axis Bank</t>
  </si>
  <si>
    <t>Dec 07 2015</t>
  </si>
  <si>
    <t>Cost of Debt</t>
  </si>
  <si>
    <t>Kotak Mahindra</t>
  </si>
  <si>
    <t>Dec 14 2015</t>
  </si>
  <si>
    <t xml:space="preserve">Default Spread </t>
  </si>
  <si>
    <t>Punjab National Bank</t>
  </si>
  <si>
    <t>Dec 21 2015</t>
  </si>
  <si>
    <t>Pre-Tax Cost of Debt</t>
  </si>
  <si>
    <t>Canara Bank</t>
  </si>
  <si>
    <t>Dec 28 2015</t>
  </si>
  <si>
    <t>Tax Rate</t>
  </si>
  <si>
    <t>Bank of Baroda</t>
  </si>
  <si>
    <t>Jan 04 2016</t>
  </si>
  <si>
    <t>Post-Tax Cost of Debt [Pre-Tax Ke*(1-Tax Rate)]</t>
  </si>
  <si>
    <t>Bank of India</t>
  </si>
  <si>
    <t>Jan 11 2016</t>
  </si>
  <si>
    <t>The Federal Bank</t>
  </si>
  <si>
    <t>Jan 18 2016</t>
  </si>
  <si>
    <t>Weight of Equity</t>
  </si>
  <si>
    <t>IDFC First Bank</t>
  </si>
  <si>
    <t>Jan 25 2016</t>
  </si>
  <si>
    <t>Weight of Debt</t>
  </si>
  <si>
    <t>Feb 01 2016</t>
  </si>
  <si>
    <t>Mean</t>
  </si>
  <si>
    <t>Feb 08 2016</t>
  </si>
  <si>
    <t>WACC</t>
  </si>
  <si>
    <t>Median</t>
  </si>
  <si>
    <t>Feb 15 2016</t>
  </si>
  <si>
    <t>Feb 22 2016</t>
  </si>
  <si>
    <t>Footnotes:</t>
  </si>
  <si>
    <t>Unlevered Beta</t>
  </si>
  <si>
    <t>Feb 29 2016</t>
  </si>
  <si>
    <t>Source: 10 year Govermnet Bond Yield</t>
  </si>
  <si>
    <t>Re-levered Beta</t>
  </si>
  <si>
    <t>Mar 07 2016</t>
  </si>
  <si>
    <t>Source: NSE, BSE, Yahoo Finance</t>
  </si>
  <si>
    <t>Mar 14 2016</t>
  </si>
  <si>
    <t>India's 5yr CDS spread</t>
  </si>
  <si>
    <t>Mar 21 2016</t>
  </si>
  <si>
    <t>[4]</t>
  </si>
  <si>
    <t>Synthetic Rating Method (Aswath Damodaran)</t>
  </si>
  <si>
    <t>Mar 28 2016</t>
  </si>
  <si>
    <t>[5]</t>
  </si>
  <si>
    <t>Average Effective Tax Rate</t>
  </si>
  <si>
    <t>Apr 04 2016</t>
  </si>
  <si>
    <t>Apr 11 2016</t>
  </si>
  <si>
    <t>Apr 18 2016</t>
  </si>
  <si>
    <t>Apr 25 2016</t>
  </si>
  <si>
    <t>May 02 2016</t>
  </si>
  <si>
    <t>May 09 2016</t>
  </si>
  <si>
    <t>May 16 2016</t>
  </si>
  <si>
    <t>May 23 2016</t>
  </si>
  <si>
    <t>May 30 2016</t>
  </si>
  <si>
    <t>Jun 06 2016</t>
  </si>
  <si>
    <t>Jun 13 2016</t>
  </si>
  <si>
    <t>Jun 20 2016</t>
  </si>
  <si>
    <t>Jun 27 2016</t>
  </si>
  <si>
    <t>Jul 04 2016</t>
  </si>
  <si>
    <t>Jul 11 2016</t>
  </si>
  <si>
    <t>Jul 18 2016</t>
  </si>
  <si>
    <t>Jul 25 2016</t>
  </si>
  <si>
    <t>Aug 01 2016</t>
  </si>
  <si>
    <t>Aug 08 2016</t>
  </si>
  <si>
    <t>Aug 15 2016</t>
  </si>
  <si>
    <t>Aug 22 2016</t>
  </si>
  <si>
    <t>Aug 29 2016</t>
  </si>
  <si>
    <t>Sep 05 2016</t>
  </si>
  <si>
    <t>Sep 12 2016</t>
  </si>
  <si>
    <t>Sep 19 2016</t>
  </si>
  <si>
    <t>Sep 26 2016</t>
  </si>
  <si>
    <t>Oct 03 2016</t>
  </si>
  <si>
    <t>Oct 10 2016</t>
  </si>
  <si>
    <t>Oct 17 2016</t>
  </si>
  <si>
    <t>Oct 24 2016</t>
  </si>
  <si>
    <t>Oct 31 2016</t>
  </si>
  <si>
    <t>Nov 07 2016</t>
  </si>
  <si>
    <t>Nov 14 2016</t>
  </si>
  <si>
    <t>Nov 21 2016</t>
  </si>
  <si>
    <t>Nov 28 2016</t>
  </si>
  <si>
    <t>Dec 05 2016</t>
  </si>
  <si>
    <t>Dec 12 2016</t>
  </si>
  <si>
    <t>Dec 19 2016</t>
  </si>
  <si>
    <t>Dec 26 2016</t>
  </si>
  <si>
    <t>Jan 02 2017</t>
  </si>
  <si>
    <t>Jan 09 2017</t>
  </si>
  <si>
    <t>Jan 16 2017</t>
  </si>
  <si>
    <t>Jan 23 2017</t>
  </si>
  <si>
    <t>Jan 30 2017</t>
  </si>
  <si>
    <t>Feb 06 2017</t>
  </si>
  <si>
    <t>Feb 13 2017</t>
  </si>
  <si>
    <t>Feb 20 2017</t>
  </si>
  <si>
    <t>Feb 27 2017</t>
  </si>
  <si>
    <t>Mar 06 2017</t>
  </si>
  <si>
    <t>Mar 13 2017</t>
  </si>
  <si>
    <t>Mar 20 2017</t>
  </si>
  <si>
    <t>Mar 27 2017</t>
  </si>
  <si>
    <t>Apr 03 2017</t>
  </si>
  <si>
    <t>Apr 10 2017</t>
  </si>
  <si>
    <t>Apr 17 2017</t>
  </si>
  <si>
    <t>Apr 24 2017</t>
  </si>
  <si>
    <t>May 01 2017</t>
  </si>
  <si>
    <t>May 08 2017</t>
  </si>
  <si>
    <t>May 15 2017</t>
  </si>
  <si>
    <t>May 22 2017</t>
  </si>
  <si>
    <t>May 29 2017</t>
  </si>
  <si>
    <t>Jun 05 2017</t>
  </si>
  <si>
    <t>Jun 12 2017</t>
  </si>
  <si>
    <t>Jun 19 2017</t>
  </si>
  <si>
    <t>Jun 26 2017</t>
  </si>
  <si>
    <t>Jul 03 2017</t>
  </si>
  <si>
    <t>Jul 10 2017</t>
  </si>
  <si>
    <t>Jul 17 2017</t>
  </si>
  <si>
    <t>Jul 24 2017</t>
  </si>
  <si>
    <t>Jul 31 2017</t>
  </si>
  <si>
    <t>Aug 07 2017</t>
  </si>
  <si>
    <t>Aug 14 2017</t>
  </si>
  <si>
    <t>Aug 21 2017</t>
  </si>
  <si>
    <t>Aug 28 2017</t>
  </si>
  <si>
    <t>Sep 04 2017</t>
  </si>
  <si>
    <t>Sep 11 2017</t>
  </si>
  <si>
    <t>Sep 18 2017</t>
  </si>
  <si>
    <t>Sep 25 2017</t>
  </si>
  <si>
    <t>Oct 02 2017</t>
  </si>
  <si>
    <t>Oct 09 2017</t>
  </si>
  <si>
    <t>Oct 16 2017</t>
  </si>
  <si>
    <t>Oct 23 2017</t>
  </si>
  <si>
    <t>Oct 30 2017</t>
  </si>
  <si>
    <t>Nov 06 2017</t>
  </si>
  <si>
    <t>Nov 13 2017</t>
  </si>
  <si>
    <t>Nov 20 2017</t>
  </si>
  <si>
    <t>Nov 27 2017</t>
  </si>
  <si>
    <t>Dec 04 2017</t>
  </si>
  <si>
    <t>Dec 11 2017</t>
  </si>
  <si>
    <t>Dec 18 2017</t>
  </si>
  <si>
    <t>Dec 25 2017</t>
  </si>
  <si>
    <t>Jan 01 2018</t>
  </si>
  <si>
    <t>Jan 08 2018</t>
  </si>
  <si>
    <t>Jan 15 2018</t>
  </si>
  <si>
    <t>Jan 22 2018</t>
  </si>
  <si>
    <t>Jan 29 2018</t>
  </si>
  <si>
    <t>Feb 05 2018</t>
  </si>
  <si>
    <t>Feb 12 2018</t>
  </si>
  <si>
    <t>Feb 19 2018</t>
  </si>
  <si>
    <t>Feb 26 2018</t>
  </si>
  <si>
    <t>Mar 05 2018</t>
  </si>
  <si>
    <t>Mar 12 2018</t>
  </si>
  <si>
    <t>Mar 19 2018</t>
  </si>
  <si>
    <t>Mar 26 2018</t>
  </si>
  <si>
    <t>Apr 02 2018</t>
  </si>
  <si>
    <t>Apr 09 2018</t>
  </si>
  <si>
    <t>Apr 16 2018</t>
  </si>
  <si>
    <t>Apr 23 2018</t>
  </si>
  <si>
    <t>Apr 30 2018</t>
  </si>
  <si>
    <t>May 07 2018</t>
  </si>
  <si>
    <t>May 14 2018</t>
  </si>
  <si>
    <t>May 21 2018</t>
  </si>
  <si>
    <t>May 28 2018</t>
  </si>
  <si>
    <t>Jun 04 2018</t>
  </si>
  <si>
    <t>Jun 11 2018</t>
  </si>
  <si>
    <t>Jun 18 2018</t>
  </si>
  <si>
    <t>Jun 25 2018</t>
  </si>
  <si>
    <t>Jul 02 2018</t>
  </si>
  <si>
    <t>Jul 09 2018</t>
  </si>
  <si>
    <t>Jul 16 2018</t>
  </si>
  <si>
    <t>Jul 23 2018</t>
  </si>
  <si>
    <t>Jul 30 2018</t>
  </si>
  <si>
    <t>Aug 06 2018</t>
  </si>
  <si>
    <t>Aug 13 2018</t>
  </si>
  <si>
    <t>Aug 20 2018</t>
  </si>
  <si>
    <t>Aug 27 2018</t>
  </si>
  <si>
    <t>Sep 03 2018</t>
  </si>
  <si>
    <t>Sep 10 2018</t>
  </si>
  <si>
    <t>Sep 17 2018</t>
  </si>
  <si>
    <t>Sep 24 2018</t>
  </si>
  <si>
    <t>Oct 01 2018</t>
  </si>
  <si>
    <t>Oct 08 2018</t>
  </si>
  <si>
    <t>Oct 15 2018</t>
  </si>
  <si>
    <t>Oct 22 2018</t>
  </si>
  <si>
    <t>Oct 29 2018</t>
  </si>
  <si>
    <t>Nov 05 2018</t>
  </si>
  <si>
    <t>Nov 12 2018</t>
  </si>
  <si>
    <t>Nov 19 2018</t>
  </si>
  <si>
    <t>Nov 26 2018</t>
  </si>
  <si>
    <t>Dec 03 2018</t>
  </si>
  <si>
    <t>Dec 10 2018</t>
  </si>
  <si>
    <t>Dec 17 2018</t>
  </si>
  <si>
    <t>Dec 24 2018</t>
  </si>
  <si>
    <t>Dec 31 2018</t>
  </si>
  <si>
    <t>Jan 07 2019</t>
  </si>
  <si>
    <t>Jan 14 2019</t>
  </si>
  <si>
    <t>Jan 21 2019</t>
  </si>
  <si>
    <t>Jan 28 2019</t>
  </si>
  <si>
    <t>Feb 04 2019</t>
  </si>
  <si>
    <t>Feb 11 2019</t>
  </si>
  <si>
    <t>Feb 18 2019</t>
  </si>
  <si>
    <t>Feb 25 2019</t>
  </si>
  <si>
    <t>Mar 04 2019</t>
  </si>
  <si>
    <t>Mar 11 2019</t>
  </si>
  <si>
    <t>Mar 18 2019</t>
  </si>
  <si>
    <t>Mar 25 2019</t>
  </si>
  <si>
    <t>Apr 01 2019</t>
  </si>
  <si>
    <t>Apr 08 2019</t>
  </si>
  <si>
    <t>Apr 15 2019</t>
  </si>
  <si>
    <t>Apr 22 2019</t>
  </si>
  <si>
    <t>Apr 29 2019</t>
  </si>
  <si>
    <t>May 06 2019</t>
  </si>
  <si>
    <t>May 13 2019</t>
  </si>
  <si>
    <t>May 20 2019</t>
  </si>
  <si>
    <t>May 27 2019</t>
  </si>
  <si>
    <t>Jun 03 2019</t>
  </si>
  <si>
    <t>Jun 10 2019</t>
  </si>
  <si>
    <t>Jun 17 2019</t>
  </si>
  <si>
    <t>Jun 24 2019</t>
  </si>
  <si>
    <t>Jul 01 2019</t>
  </si>
  <si>
    <t>Jul 08 2019</t>
  </si>
  <si>
    <t>Jul 15 2019</t>
  </si>
  <si>
    <t>Jul 22 2019</t>
  </si>
  <si>
    <t>Jul 29 2019</t>
  </si>
  <si>
    <t>Aug 05 2019</t>
  </si>
  <si>
    <t>Aug 12 2019</t>
  </si>
  <si>
    <t>Aug 19 2019</t>
  </si>
  <si>
    <t>Aug 26 2019</t>
  </si>
  <si>
    <t>Sep 02 2019</t>
  </si>
  <si>
    <t>Sep 09 2019</t>
  </si>
  <si>
    <t>Sep 16 2019</t>
  </si>
  <si>
    <t>Sep 23 2019</t>
  </si>
  <si>
    <t>Sep 30 2019</t>
  </si>
  <si>
    <t>Oct 07 2019</t>
  </si>
  <si>
    <t>Oct 14 2019</t>
  </si>
  <si>
    <t>Oct 21 2019</t>
  </si>
  <si>
    <t>Oct 28 2019</t>
  </si>
  <si>
    <t>Nov 04 2019</t>
  </si>
  <si>
    <t>Nov 11 2019</t>
  </si>
  <si>
    <t>Nov 18 2019</t>
  </si>
  <si>
    <t>Nov 25 2019</t>
  </si>
  <si>
    <t>Dec 02 2019</t>
  </si>
  <si>
    <t>Dec 09 2019</t>
  </si>
  <si>
    <t>Dec 16 2019</t>
  </si>
  <si>
    <t>Dec 23 2019</t>
  </si>
  <si>
    <t>Dec 30 2019</t>
  </si>
  <si>
    <t>Jan 06 2020</t>
  </si>
  <si>
    <t>Jan 13 2020</t>
  </si>
  <si>
    <t>Jan 20 2020</t>
  </si>
  <si>
    <t>Jan 27 2020</t>
  </si>
  <si>
    <t>Feb 03 2020</t>
  </si>
  <si>
    <t>Feb 10 2020</t>
  </si>
  <si>
    <t>Feb 17 2020</t>
  </si>
  <si>
    <t>Feb 24 2020</t>
  </si>
  <si>
    <t>Mar 02 2020</t>
  </si>
  <si>
    <t>Mar 09 2020</t>
  </si>
  <si>
    <t>Mar 16 2020</t>
  </si>
  <si>
    <t>Mar 23 2020</t>
  </si>
  <si>
    <t>Mar 30 2020</t>
  </si>
  <si>
    <t>Apr 06 2020</t>
  </si>
  <si>
    <t>Apr 13 2020</t>
  </si>
  <si>
    <t>Apr 20 2020</t>
  </si>
  <si>
    <t>Apr 27 2020</t>
  </si>
  <si>
    <t>May 04 2020</t>
  </si>
  <si>
    <t>May 11 2020</t>
  </si>
  <si>
    <t>May 18 2020</t>
  </si>
  <si>
    <t>May 25 2020</t>
  </si>
  <si>
    <t>Jun 01 2020</t>
  </si>
  <si>
    <t>Jun 08 2020</t>
  </si>
  <si>
    <t>Jun 15 2020</t>
  </si>
  <si>
    <t>Jun 22 2020</t>
  </si>
  <si>
    <t>Jun 29 2020</t>
  </si>
  <si>
    <t>Jul 06 2020</t>
  </si>
  <si>
    <t>Jul 13 2020</t>
  </si>
  <si>
    <t>Jul 20 2020</t>
  </si>
  <si>
    <t>Jul 27 2020</t>
  </si>
  <si>
    <t>Aug 03 2020</t>
  </si>
  <si>
    <t>Aug 10 2020</t>
  </si>
  <si>
    <t>Aug 17 2020</t>
  </si>
  <si>
    <t>Aug 24 2020</t>
  </si>
  <si>
    <t>Aug 31 2020</t>
  </si>
  <si>
    <t>Sep 07 2020</t>
  </si>
  <si>
    <t>Sep 14 2020</t>
  </si>
  <si>
    <t>Sep 21 2020</t>
  </si>
  <si>
    <t>Sep 28 2020</t>
  </si>
  <si>
    <t>Oct 05 2020</t>
  </si>
  <si>
    <t>Oct 12 2020</t>
  </si>
  <si>
    <t>Oct 19 2020</t>
  </si>
  <si>
    <t>Oct 26 2020</t>
  </si>
  <si>
    <t>Nov 02 2020</t>
  </si>
  <si>
    <t>Nov 09 2020</t>
  </si>
  <si>
    <t>Nov 16 2020</t>
  </si>
  <si>
    <t>Nov 23 2020</t>
  </si>
  <si>
    <t>Nov 30 2020</t>
  </si>
  <si>
    <t>Dec 07 2020</t>
  </si>
  <si>
    <t>Dec 14 2020</t>
  </si>
  <si>
    <t>Dec 21 2020</t>
  </si>
  <si>
    <t>Dec 28 2020</t>
  </si>
  <si>
    <t>Jan 04 2021</t>
  </si>
  <si>
    <t>Jan 11 2021</t>
  </si>
  <si>
    <t>Jan 18 2021</t>
  </si>
  <si>
    <t>Jan 25 2021</t>
  </si>
  <si>
    <t>Feb 01 2021</t>
  </si>
  <si>
    <t>Feb 08 2021</t>
  </si>
  <si>
    <t>Feb 15 2021</t>
  </si>
  <si>
    <t>Feb 22 2021</t>
  </si>
  <si>
    <t>Mar 01 2021</t>
  </si>
  <si>
    <t>Mar 08 2021</t>
  </si>
  <si>
    <t>Mar 15 2021</t>
  </si>
  <si>
    <t>Mar 22 2021</t>
  </si>
  <si>
    <t>Mar 29 2021</t>
  </si>
  <si>
    <t>Apr 05 2021</t>
  </si>
  <si>
    <t>Apr 12 2021</t>
  </si>
  <si>
    <t>Apr 19 2021</t>
  </si>
  <si>
    <t>Apr 26 2021</t>
  </si>
  <si>
    <t>May 03 2021</t>
  </si>
  <si>
    <t>May 10 2021</t>
  </si>
  <si>
    <t>May 17 2021</t>
  </si>
  <si>
    <t>May 24 2021</t>
  </si>
  <si>
    <t>May 31 2021</t>
  </si>
  <si>
    <t>Jun 07 2021</t>
  </si>
  <si>
    <t>Jun 14 2021</t>
  </si>
  <si>
    <t>Jun 21 2021</t>
  </si>
  <si>
    <t>Jun 28 2021</t>
  </si>
  <si>
    <t>Jul 05 2021</t>
  </si>
  <si>
    <t>Jul 12 2021</t>
  </si>
  <si>
    <t>Jul 19 2021</t>
  </si>
  <si>
    <t>Jul 26 2021</t>
  </si>
  <si>
    <t>Aug 02 2021</t>
  </si>
  <si>
    <t>Aug 09 2021</t>
  </si>
  <si>
    <t>Aug 16 2021</t>
  </si>
  <si>
    <t>Aug 23 2021</t>
  </si>
  <si>
    <t>Aug 30 2021</t>
  </si>
  <si>
    <t>Sep 06 2021</t>
  </si>
  <si>
    <t>Sep 13 2021</t>
  </si>
  <si>
    <t>Sep 20 2021</t>
  </si>
  <si>
    <t>Sep 27 2021</t>
  </si>
  <si>
    <t>Oct 04 2021</t>
  </si>
  <si>
    <t>Oct 11 2021</t>
  </si>
  <si>
    <t>Oct 18 2021</t>
  </si>
  <si>
    <t>Oct 25 2021</t>
  </si>
  <si>
    <t>Nov 01 2021</t>
  </si>
  <si>
    <t>Nov 08 2021</t>
  </si>
  <si>
    <t>Nov 15 2021</t>
  </si>
  <si>
    <t>Nov 22 2021</t>
  </si>
  <si>
    <t>Nov 29 2021</t>
  </si>
  <si>
    <t>Dec 06 2021</t>
  </si>
  <si>
    <t>Dec 13 2021</t>
  </si>
  <si>
    <t>Dec 20 2021</t>
  </si>
  <si>
    <t>Dec 27 2021</t>
  </si>
  <si>
    <t>Jan 03 2022</t>
  </si>
  <si>
    <t>Jan 10 2022</t>
  </si>
  <si>
    <t>Jan 17 2022</t>
  </si>
  <si>
    <t>Jan 24 2022</t>
  </si>
  <si>
    <t>Jan 31 2022</t>
  </si>
  <si>
    <t>Feb 07 2022</t>
  </si>
  <si>
    <t>Feb 14 2022</t>
  </si>
  <si>
    <t>Feb 21 2022</t>
  </si>
  <si>
    <t>Feb 28 2022</t>
  </si>
  <si>
    <t>Mar 07 2022</t>
  </si>
  <si>
    <t>Mar 14 2022</t>
  </si>
  <si>
    <t>Mar 21 2022</t>
  </si>
  <si>
    <t>Mar 28 2022</t>
  </si>
  <si>
    <t>Apr 04 2022</t>
  </si>
  <si>
    <t>Apr 11 2022</t>
  </si>
  <si>
    <t>Apr 18 2022</t>
  </si>
  <si>
    <t>Apr 25 2022</t>
  </si>
  <si>
    <t>May 02 2022</t>
  </si>
  <si>
    <t>May 09 2022</t>
  </si>
  <si>
    <t>May 16 2022</t>
  </si>
  <si>
    <t>May 23 2022</t>
  </si>
  <si>
    <t>May 30 2022</t>
  </si>
  <si>
    <t>Jun 06 2022</t>
  </si>
  <si>
    <t>Jun 13 2022</t>
  </si>
  <si>
    <t>Jun 20 2022</t>
  </si>
  <si>
    <t>Jun 27 2022</t>
  </si>
  <si>
    <t>Jul 04 2022</t>
  </si>
  <si>
    <t>Jul 11 2022</t>
  </si>
  <si>
    <t>Jul 18 2022</t>
  </si>
  <si>
    <t>Jul 25 2022</t>
  </si>
  <si>
    <t>Aug 01 2022</t>
  </si>
  <si>
    <t>Aug 08 2022</t>
  </si>
  <si>
    <t>Aug 15 2022</t>
  </si>
  <si>
    <t>Aug 22 2022</t>
  </si>
  <si>
    <t>Aug 29 2022</t>
  </si>
  <si>
    <t>Sep 05 2022</t>
  </si>
  <si>
    <t>Sep 12 2022</t>
  </si>
  <si>
    <t>Sep 19 2022</t>
  </si>
  <si>
    <t>Sep 26 2022</t>
  </si>
  <si>
    <t>Oct 03 2022</t>
  </si>
  <si>
    <t>Oct 10 2022</t>
  </si>
  <si>
    <t>Oct 17 2022</t>
  </si>
  <si>
    <t>Oct 24 2022</t>
  </si>
  <si>
    <t>Oct 31 2022</t>
  </si>
  <si>
    <t>Nov 07 2022</t>
  </si>
  <si>
    <t>Nov 14 2022</t>
  </si>
  <si>
    <t>Nov 21 2022</t>
  </si>
  <si>
    <t>Nov 28 2022</t>
  </si>
  <si>
    <t>Dec 05 2022</t>
  </si>
  <si>
    <t>Dec 12 2022</t>
  </si>
  <si>
    <t>Dec 19 2022</t>
  </si>
  <si>
    <t>Dec 26 2022</t>
  </si>
  <si>
    <t>Jan 02 2023</t>
  </si>
  <si>
    <t>Jan 09 2023</t>
  </si>
  <si>
    <t>Jan 16 2023</t>
  </si>
  <si>
    <t>Jan 23 2023</t>
  </si>
  <si>
    <t>Jan 30 2023</t>
  </si>
  <si>
    <t>Feb 06 2023</t>
  </si>
  <si>
    <t>Feb 13 2023</t>
  </si>
  <si>
    <t>Feb 20 2023</t>
  </si>
  <si>
    <t>Feb 27 2023</t>
  </si>
  <si>
    <t>Mar 06 2023</t>
  </si>
  <si>
    <t>Mar 13 2023</t>
  </si>
  <si>
    <t>Mar 20 2023</t>
  </si>
  <si>
    <t>Mar 27 2023</t>
  </si>
  <si>
    <t>Apr 03 2023</t>
  </si>
  <si>
    <t>Apr 10 2023</t>
  </si>
  <si>
    <t>Apr 17 2023</t>
  </si>
  <si>
    <t>Apr 24 2023</t>
  </si>
  <si>
    <t>May 01 2023</t>
  </si>
  <si>
    <t>May 08 2023</t>
  </si>
  <si>
    <t>May 15 2023</t>
  </si>
  <si>
    <t>May 22 2023</t>
  </si>
  <si>
    <t>May 29 2023</t>
  </si>
  <si>
    <t>Jun 05 2023</t>
  </si>
  <si>
    <t>Jun 12 2023</t>
  </si>
  <si>
    <t>Jun 19 2023</t>
  </si>
  <si>
    <t>Jun 26 2023</t>
  </si>
  <si>
    <t>Jul 03 2023</t>
  </si>
  <si>
    <t>Jul 10 2023</t>
  </si>
  <si>
    <t>Jul 17 2023</t>
  </si>
  <si>
    <t>Jul 24 2023</t>
  </si>
  <si>
    <t>Jul 31 2023</t>
  </si>
  <si>
    <t>Aug 07 2023</t>
  </si>
  <si>
    <t>Aug 14 2023</t>
  </si>
  <si>
    <t>Aug 21 2023</t>
  </si>
  <si>
    <t>Aug 28 2023</t>
  </si>
  <si>
    <t>Sep 04 2023</t>
  </si>
  <si>
    <t>Sep 11 2023</t>
  </si>
  <si>
    <t>Sep 18 2023</t>
  </si>
  <si>
    <t>Sep 25 2023</t>
  </si>
  <si>
    <t>Oct 02 2023</t>
  </si>
  <si>
    <t>Oct 09 2023</t>
  </si>
  <si>
    <t>Oct 16 2023</t>
  </si>
  <si>
    <t>Oct 23 2023</t>
  </si>
  <si>
    <t>Oct 30 2023</t>
  </si>
  <si>
    <t>Nov 06 2023</t>
  </si>
  <si>
    <t>Nov 13 2023</t>
  </si>
  <si>
    <t>Nov 20 2023</t>
  </si>
  <si>
    <t>Nov 27 2023</t>
  </si>
  <si>
    <t>Dec 04 2023</t>
  </si>
  <si>
    <t>Dec 11 2023</t>
  </si>
  <si>
    <t>Dec 18 2023</t>
  </si>
  <si>
    <t>Dec 25 2023</t>
  </si>
  <si>
    <t>Jan 01 2024</t>
  </si>
  <si>
    <t>Jan 08 2024</t>
  </si>
  <si>
    <t>Jan 15 2024</t>
  </si>
  <si>
    <t>Jan 22 2024</t>
  </si>
  <si>
    <t>Jan 29 2024</t>
  </si>
  <si>
    <t>Feb 05 2024</t>
  </si>
  <si>
    <t>Feb 12 2024</t>
  </si>
  <si>
    <t>Feb 19 2024</t>
  </si>
  <si>
    <t>Feb 26 2024</t>
  </si>
  <si>
    <t>Mar 04 2024</t>
  </si>
  <si>
    <t>Mar 11 2024</t>
  </si>
  <si>
    <t>Mar 18 2024</t>
  </si>
  <si>
    <t>Mar 25 2024</t>
  </si>
  <si>
    <t>Apr 01 2024</t>
  </si>
  <si>
    <t>Apr 08 2024</t>
  </si>
  <si>
    <t>Apr 15 2024</t>
  </si>
  <si>
    <t>Apr 22 2024</t>
  </si>
  <si>
    <t>Apr 29 2024</t>
  </si>
  <si>
    <t>May 06 2024</t>
  </si>
  <si>
    <t>May 13 2024</t>
  </si>
  <si>
    <t>May 20 2024</t>
  </si>
  <si>
    <t>May 27 2024</t>
  </si>
  <si>
    <t>Jun 03 2024</t>
  </si>
  <si>
    <t>Jun 10 2024</t>
  </si>
  <si>
    <t>Jun 17 2024</t>
  </si>
  <si>
    <t>Jun 24 2024</t>
  </si>
  <si>
    <t>Jul 01 2024</t>
  </si>
  <si>
    <t>Jul 08 2024</t>
  </si>
  <si>
    <t>Jul 15 2024</t>
  </si>
  <si>
    <t>Jul 22 2024</t>
  </si>
  <si>
    <t>Jul 29 2024</t>
  </si>
  <si>
    <t>Aug 05 2024</t>
  </si>
  <si>
    <t>Aug 12 2024</t>
  </si>
  <si>
    <t>Aug 19 2024</t>
  </si>
  <si>
    <t>Aug 26 2024</t>
  </si>
  <si>
    <t>Sep 02 2024</t>
  </si>
  <si>
    <t>Sep 09 2024</t>
  </si>
  <si>
    <t>Sep 16 2024</t>
  </si>
  <si>
    <t>Sep 23 2024</t>
  </si>
  <si>
    <t>Sep 30 2024</t>
  </si>
  <si>
    <t>Oct 07 2024</t>
  </si>
  <si>
    <t>Oct 14 2024</t>
  </si>
  <si>
    <t>Oct 21 2024</t>
  </si>
  <si>
    <t>Oct 28 2024</t>
  </si>
  <si>
    <t>Nov 04 2024</t>
  </si>
  <si>
    <t>Nov 11 2024</t>
  </si>
  <si>
    <t>Nov 18 2024</t>
  </si>
  <si>
    <t>Nov 25 2024</t>
  </si>
  <si>
    <t>Dec 02 2024</t>
  </si>
  <si>
    <t>Dec 09 2024</t>
  </si>
  <si>
    <t>Dec 16 2024</t>
  </si>
  <si>
    <t>Dec 23 2024</t>
  </si>
  <si>
    <t>Dec 30 2024</t>
  </si>
  <si>
    <t>Jan 06 2025</t>
  </si>
  <si>
    <t>Jan 13 2025</t>
  </si>
  <si>
    <t>Jan 20 2025</t>
  </si>
  <si>
    <t>Jan 27 2025</t>
  </si>
  <si>
    <t>Feb 03 2025</t>
  </si>
  <si>
    <t>Feb 10 2025</t>
  </si>
  <si>
    <t>Feb 17 2025</t>
  </si>
  <si>
    <t>Feb 24 2025</t>
  </si>
  <si>
    <t>Mar 03 2025</t>
  </si>
  <si>
    <t>Mar 10 2025</t>
  </si>
  <si>
    <t>Mar 17 2025</t>
  </si>
  <si>
    <t>Mar 24 2025</t>
  </si>
  <si>
    <t>Mar 31 2025</t>
  </si>
  <si>
    <t>Apr 07 2025</t>
  </si>
  <si>
    <t>Apr 14 2025</t>
  </si>
  <si>
    <t>Apr 21 2025</t>
  </si>
  <si>
    <t>Apr 28 2025</t>
  </si>
  <si>
    <t>May 05 2025</t>
  </si>
  <si>
    <t>May 12 2025</t>
  </si>
  <si>
    <t>May 19 2025</t>
  </si>
  <si>
    <t>May 26 2025</t>
  </si>
  <si>
    <t>Jun 02 2025</t>
  </si>
  <si>
    <t>Jun 09 2025</t>
  </si>
  <si>
    <t>Jun 16 2025</t>
  </si>
  <si>
    <t>Jun 23 2025</t>
  </si>
  <si>
    <t>Jun 30 2025</t>
  </si>
  <si>
    <t>Jul 07 2025</t>
  </si>
  <si>
    <t>Jul 14 2025</t>
  </si>
  <si>
    <t>Jul 21 2025</t>
  </si>
  <si>
    <t>Jul 28 2025</t>
  </si>
  <si>
    <t>Aug 04 2025</t>
  </si>
  <si>
    <t>Aug 11 2025</t>
  </si>
  <si>
    <t>Aug 18 2025</t>
  </si>
  <si>
    <t>Aug 25 2025</t>
  </si>
  <si>
    <t>Sep 01 2025</t>
  </si>
  <si>
    <t>Sep 08 2025</t>
  </si>
  <si>
    <t>Sep 15 2025</t>
  </si>
  <si>
    <t>Sep 22 2025</t>
  </si>
  <si>
    <t>Sep 29 2025</t>
  </si>
  <si>
    <t>Oct 06 2025</t>
  </si>
  <si>
    <t>Oct 13 2025</t>
  </si>
  <si>
    <t>Oct 20 2025</t>
  </si>
  <si>
    <t>Revenue</t>
  </si>
  <si>
    <t>% Growth</t>
  </si>
  <si>
    <t>India GDP (in trillion)</t>
  </si>
  <si>
    <t>Lagged GDP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</si>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</sst>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 * #,##0.00_ ;_ * \-#,##0.00_ ;_ * &quot;-&quot;??_ ;_ @_ "/>
    <numFmt numFmtId="167" formatCode="0.0"/>
    <numFmt numFmtId="168" formatCode="0\A"/>
    <numFmt numFmtId="169" formatCode="0\E"/>
    <numFmt numFmtId="170" formatCode="_-* #,##0.0_-;\-* #,##0.0_-;_-* &quot;-&quot;??_-;_-@_-"/>
    <numFmt numFmtId="171" formatCode="_-* #,##0.00000_-;\-* #,##0.00000_-;_-* &quot;-&quot;??_-;_-@_-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indexed="9"/>
      <name val="Arial"/>
      <family val="2"/>
    </font>
    <font>
      <sz val="24"/>
      <color theme="1"/>
      <name val="Aptos Narrow"/>
      <family val="2"/>
      <scheme val="minor"/>
    </font>
    <font>
      <i/>
      <sz val="11"/>
      <name val="Arial"/>
      <family val="2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rgb="FF0000CC"/>
      <name val="Aptos Narrow"/>
      <family val="2"/>
      <scheme val="minor"/>
    </font>
    <font>
      <sz val="12"/>
      <color rgb="FF22222F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indexed="9"/>
      <name val="Arial"/>
      <family val="2"/>
    </font>
    <font>
      <b/>
      <i/>
      <sz val="12"/>
      <color theme="1"/>
      <name val="Aptos Narrow"/>
      <family val="2"/>
      <scheme val="minor"/>
    </font>
    <font>
      <b/>
      <i/>
      <sz val="11"/>
      <color theme="0"/>
      <name val="Arial"/>
      <family val="2"/>
    </font>
    <font>
      <i/>
      <sz val="11"/>
      <color theme="0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22222F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39933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4"/>
      <color theme="4"/>
      <name val="Aptos Narrow"/>
      <family val="2"/>
      <scheme val="minor"/>
    </font>
    <font>
      <sz val="12"/>
      <color rgb="FF339933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339933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112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43" fontId="2" fillId="0" borderId="0" xfId="0" applyNumberFormat="1" applyFont="1"/>
    <xf numFmtId="10" fontId="0" fillId="0" borderId="0" xfId="0" applyNumberFormat="1"/>
    <xf numFmtId="0" fontId="4" fillId="0" borderId="0" xfId="0" applyFont="1"/>
    <xf numFmtId="0" fontId="3" fillId="0" borderId="0" xfId="3"/>
    <xf numFmtId="0" fontId="5" fillId="2" borderId="0" xfId="0" applyFont="1" applyFill="1"/>
    <xf numFmtId="0" fontId="6" fillId="0" borderId="2" xfId="0" applyFont="1" applyBorder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7" fillId="0" borderId="3" xfId="0" applyFont="1" applyBorder="1"/>
    <xf numFmtId="0" fontId="4" fillId="0" borderId="3" xfId="0" applyFont="1" applyBorder="1"/>
    <xf numFmtId="0" fontId="8" fillId="0" borderId="3" xfId="0" applyFont="1" applyBorder="1"/>
    <xf numFmtId="0" fontId="9" fillId="3" borderId="0" xfId="0" applyFont="1" applyFill="1"/>
    <xf numFmtId="0" fontId="4" fillId="3" borderId="0" xfId="0" applyFont="1" applyFill="1"/>
    <xf numFmtId="0" fontId="10" fillId="0" borderId="0" xfId="0" applyFont="1"/>
    <xf numFmtId="0" fontId="2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0" fontId="11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4" fillId="0" borderId="0" xfId="1" applyFont="1"/>
    <xf numFmtId="43" fontId="4" fillId="0" borderId="0" xfId="0" applyNumberFormat="1" applyFont="1"/>
    <xf numFmtId="43" fontId="12" fillId="0" borderId="0" xfId="1" applyFont="1"/>
    <xf numFmtId="165" fontId="4" fillId="0" borderId="0" xfId="1" applyNumberFormat="1" applyFont="1"/>
    <xf numFmtId="164" fontId="4" fillId="0" borderId="0" xfId="0" applyNumberFormat="1" applyFont="1"/>
    <xf numFmtId="164" fontId="4" fillId="0" borderId="0" xfId="2" applyNumberFormat="1" applyFont="1"/>
    <xf numFmtId="9" fontId="4" fillId="0" borderId="0" xfId="2" applyFont="1"/>
    <xf numFmtId="10" fontId="4" fillId="0" borderId="0" xfId="2" applyNumberFormat="1" applyFont="1"/>
    <xf numFmtId="10" fontId="4" fillId="0" borderId="0" xfId="0" applyNumberFormat="1" applyFont="1"/>
    <xf numFmtId="0" fontId="9" fillId="0" borderId="1" xfId="0" applyFont="1" applyBorder="1"/>
    <xf numFmtId="10" fontId="9" fillId="0" borderId="1" xfId="2" applyNumberFormat="1" applyFont="1" applyBorder="1"/>
    <xf numFmtId="0" fontId="4" fillId="0" borderId="1" xfId="0" applyFont="1" applyBorder="1"/>
    <xf numFmtId="164" fontId="9" fillId="0" borderId="1" xfId="2" applyNumberFormat="1" applyFont="1" applyBorder="1"/>
    <xf numFmtId="164" fontId="13" fillId="0" borderId="0" xfId="2" applyNumberFormat="1" applyFont="1" applyFill="1"/>
    <xf numFmtId="164" fontId="4" fillId="0" borderId="0" xfId="2" applyNumberFormat="1" applyFont="1" applyFill="1"/>
    <xf numFmtId="43" fontId="4" fillId="0" borderId="1" xfId="1" applyFont="1" applyBorder="1"/>
    <xf numFmtId="164" fontId="4" fillId="0" borderId="1" xfId="2" applyNumberFormat="1" applyFont="1" applyBorder="1"/>
    <xf numFmtId="0" fontId="14" fillId="2" borderId="0" xfId="0" applyFont="1" applyFill="1"/>
    <xf numFmtId="10" fontId="14" fillId="2" borderId="0" xfId="2" applyNumberFormat="1" applyFont="1" applyFill="1"/>
    <xf numFmtId="0" fontId="8" fillId="0" borderId="0" xfId="0" applyFont="1"/>
    <xf numFmtId="0" fontId="15" fillId="0" borderId="0" xfId="0" applyFont="1"/>
    <xf numFmtId="167" fontId="4" fillId="0" borderId="0" xfId="0" applyNumberFormat="1" applyFont="1"/>
    <xf numFmtId="0" fontId="16" fillId="5" borderId="7" xfId="0" applyFont="1" applyFill="1" applyBorder="1"/>
    <xf numFmtId="0" fontId="17" fillId="5" borderId="7" xfId="0" applyFont="1" applyFill="1" applyBorder="1"/>
    <xf numFmtId="168" fontId="16" fillId="5" borderId="7" xfId="0" applyNumberFormat="1" applyFont="1" applyFill="1" applyBorder="1"/>
    <xf numFmtId="169" fontId="16" fillId="5" borderId="7" xfId="0" applyNumberFormat="1" applyFont="1" applyFill="1" applyBorder="1"/>
    <xf numFmtId="0" fontId="18" fillId="0" borderId="0" xfId="0" applyFont="1" applyAlignment="1">
      <alignment horizontal="left" indent="1"/>
    </xf>
    <xf numFmtId="10" fontId="18" fillId="0" borderId="0" xfId="2" applyNumberFormat="1" applyFont="1"/>
    <xf numFmtId="0" fontId="18" fillId="0" borderId="0" xfId="0" applyFont="1"/>
    <xf numFmtId="43" fontId="18" fillId="0" borderId="0" xfId="1" applyFont="1"/>
    <xf numFmtId="9" fontId="0" fillId="0" borderId="0" xfId="0" applyNumberFormat="1"/>
    <xf numFmtId="43" fontId="2" fillId="0" borderId="0" xfId="1" applyFont="1"/>
    <xf numFmtId="43" fontId="0" fillId="0" borderId="0" xfId="1" applyFont="1" applyFill="1" applyBorder="1" applyAlignment="1"/>
    <xf numFmtId="0" fontId="0" fillId="0" borderId="2" xfId="0" applyBorder="1"/>
    <xf numFmtId="0" fontId="18" fillId="0" borderId="9" xfId="0" applyFont="1" applyBorder="1" applyAlignment="1">
      <alignment horizontal="center"/>
    </xf>
    <xf numFmtId="0" fontId="0" fillId="0" borderId="3" xfId="0" applyBorder="1"/>
    <xf numFmtId="0" fontId="19" fillId="0" borderId="9" xfId="0" applyFont="1" applyBorder="1" applyAlignment="1">
      <alignment horizontal="center"/>
    </xf>
    <xf numFmtId="164" fontId="0" fillId="0" borderId="0" xfId="2" applyNumberFormat="1" applyFont="1"/>
    <xf numFmtId="43" fontId="14" fillId="2" borderId="0" xfId="1" applyFont="1" applyFill="1"/>
    <xf numFmtId="0" fontId="20" fillId="0" borderId="0" xfId="0" applyFont="1"/>
    <xf numFmtId="164" fontId="0" fillId="0" borderId="0" xfId="0" applyNumberFormat="1"/>
    <xf numFmtId="0" fontId="21" fillId="6" borderId="0" xfId="0" applyFont="1" applyFill="1" applyAlignment="1">
      <alignment horizontal="right" vertical="center" wrapText="1"/>
    </xf>
    <xf numFmtId="0" fontId="22" fillId="5" borderId="7" xfId="0" applyFont="1" applyFill="1" applyBorder="1"/>
    <xf numFmtId="0" fontId="23" fillId="5" borderId="7" xfId="0" applyFont="1" applyFill="1" applyBorder="1"/>
    <xf numFmtId="168" fontId="22" fillId="5" borderId="7" xfId="0" applyNumberFormat="1" applyFont="1" applyFill="1" applyBorder="1"/>
    <xf numFmtId="169" fontId="22" fillId="5" borderId="7" xfId="0" applyNumberFormat="1" applyFont="1" applyFill="1" applyBorder="1"/>
    <xf numFmtId="0" fontId="2" fillId="0" borderId="0" xfId="0" applyFont="1" applyAlignment="1">
      <alignment horizontal="left" indent="1"/>
    </xf>
    <xf numFmtId="14" fontId="24" fillId="0" borderId="0" xfId="0" applyNumberFormat="1" applyFont="1"/>
    <xf numFmtId="14" fontId="25" fillId="0" borderId="0" xfId="0" applyNumberFormat="1" applyFont="1"/>
    <xf numFmtId="166" fontId="0" fillId="0" borderId="0" xfId="4" applyFont="1"/>
    <xf numFmtId="0" fontId="2" fillId="0" borderId="0" xfId="0" applyFont="1" applyAlignment="1">
      <alignment horizontal="left"/>
    </xf>
    <xf numFmtId="164" fontId="26" fillId="0" borderId="0" xfId="2" applyNumberFormat="1" applyFont="1"/>
    <xf numFmtId="0" fontId="0" fillId="0" borderId="0" xfId="0" applyAlignment="1">
      <alignment horizontal="left"/>
    </xf>
    <xf numFmtId="43" fontId="24" fillId="0" borderId="0" xfId="0" applyNumberFormat="1" applyFont="1"/>
    <xf numFmtId="0" fontId="27" fillId="0" borderId="0" xfId="0" applyFont="1"/>
    <xf numFmtId="0" fontId="6" fillId="0" borderId="3" xfId="0" applyFont="1" applyBorder="1"/>
    <xf numFmtId="0" fontId="15" fillId="0" borderId="7" xfId="0" applyFont="1" applyBorder="1" applyAlignment="1">
      <alignment horizontal="center"/>
    </xf>
    <xf numFmtId="0" fontId="4" fillId="0" borderId="7" xfId="0" applyFont="1" applyBorder="1"/>
    <xf numFmtId="0" fontId="28" fillId="0" borderId="0" xfId="3" applyFont="1"/>
    <xf numFmtId="9" fontId="0" fillId="0" borderId="0" xfId="2" applyFont="1"/>
    <xf numFmtId="14" fontId="26" fillId="0" borderId="0" xfId="0" applyNumberFormat="1" applyFont="1"/>
    <xf numFmtId="43" fontId="25" fillId="0" borderId="0" xfId="0" applyNumberFormat="1" applyFont="1"/>
    <xf numFmtId="164" fontId="25" fillId="0" borderId="0" xfId="2" applyNumberFormat="1" applyFont="1"/>
    <xf numFmtId="43" fontId="26" fillId="0" borderId="0" xfId="1" applyFont="1"/>
    <xf numFmtId="0" fontId="26" fillId="0" borderId="0" xfId="0" applyFont="1"/>
    <xf numFmtId="164" fontId="25" fillId="0" borderId="0" xfId="0" applyNumberFormat="1" applyFont="1"/>
    <xf numFmtId="10" fontId="29" fillId="0" borderId="0" xfId="2" applyNumberFormat="1" applyFont="1"/>
    <xf numFmtId="164" fontId="29" fillId="0" borderId="0" xfId="2" applyNumberFormat="1" applyFont="1"/>
    <xf numFmtId="10" fontId="30" fillId="0" borderId="0" xfId="0" applyNumberFormat="1" applyFont="1"/>
    <xf numFmtId="43" fontId="29" fillId="0" borderId="0" xfId="1" applyFont="1"/>
    <xf numFmtId="170" fontId="32" fillId="0" borderId="0" xfId="1" applyNumberFormat="1" applyFont="1" applyAlignment="1">
      <alignment horizontal="left"/>
    </xf>
    <xf numFmtId="0" fontId="31" fillId="0" borderId="0" xfId="0" applyFont="1"/>
    <xf numFmtId="170" fontId="32" fillId="0" borderId="0" xfId="1" applyNumberFormat="1" applyFont="1"/>
    <xf numFmtId="10" fontId="0" fillId="0" borderId="0" xfId="2" applyNumberFormat="1" applyFont="1"/>
    <xf numFmtId="164" fontId="25" fillId="0" borderId="3" xfId="2" applyNumberFormat="1" applyFont="1" applyBorder="1"/>
    <xf numFmtId="164" fontId="25" fillId="0" borderId="0" xfId="2" applyNumberFormat="1" applyFont="1" applyBorder="1"/>
    <xf numFmtId="43" fontId="24" fillId="0" borderId="3" xfId="1" applyFont="1" applyBorder="1"/>
    <xf numFmtId="0" fontId="0" fillId="0" borderId="0" xfId="0" applyAlignment="1">
      <alignment horizontal="right"/>
    </xf>
    <xf numFmtId="171" fontId="0" fillId="0" borderId="0" xfId="1" applyNumberFormat="1" applyFont="1"/>
    <xf numFmtId="9" fontId="0" fillId="0" borderId="0" xfId="1" applyNumberFormat="1" applyFont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18" fillId="0" borderId="8" xfId="0" applyFont="1" applyBorder="1" applyAlignment="1">
      <alignment horizontal="center"/>
    </xf>
  </cellXfs>
  <cellStyles count="5">
    <cellStyle name="Comma" xfId="1" builtinId="3"/>
    <cellStyle name="Comma 2" xfId="4" xr:uid="{D84B3D6E-19A1-459D-8D5A-347501ABB33E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11</xdr:row>
      <xdr:rowOff>85725</xdr:rowOff>
    </xdr:from>
    <xdr:to>
      <xdr:col>19</xdr:col>
      <xdr:colOff>285750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32BC0-1CFE-49F3-A15F-50BBC826A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076450"/>
          <a:ext cx="9144000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982/OneDrive/Desktop/DCF%20Models/DCF%20Models/By%20Me/DCF%20Rama%20Steel%20Tubes%202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oe-my.sharepoint.com/personal/s2786414_ed_ac_uk/Documents/Group%206_EUTIC_FIG/Valuation%20Model/DCF%20using%20EB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OC"/>
      <sheetName val="Inputs&amp;Assumptions"/>
      <sheetName val="P&amp;L"/>
      <sheetName val="CommonSizeP&amp;L"/>
      <sheetName val="BS"/>
      <sheetName val="CommonSizeBS"/>
      <sheetName val="Ratio Analysis"/>
      <sheetName val="WC Schedule"/>
      <sheetName val="Debt Schedule"/>
      <sheetName val="Fixed Asset Schedule"/>
      <sheetName val="TCMM"/>
      <sheetName val="TCMD"/>
      <sheetName val="EPS &amp; PE"/>
      <sheetName val="WACC"/>
      <sheetName val="DCF"/>
      <sheetName val="Sensitivity "/>
      <sheetName val="ValuationSummary"/>
      <sheetName val="Glossary"/>
      <sheetName val="Appendi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snloffice"/>
      <sheetName val="TOC"/>
      <sheetName val="Income Statement"/>
      <sheetName val="Assumptions"/>
      <sheetName val="WACC"/>
      <sheetName val="DCF"/>
      <sheetName val="DCF (2)"/>
      <sheetName val="Sensitivity Analysis"/>
      <sheetName val="Regression"/>
    </sheetNames>
    <sheetDataSet>
      <sheetData sheetId="0"/>
      <sheetData sheetId="1"/>
      <sheetData sheetId="2">
        <row r="76">
          <cell r="E76">
            <v>0.21993768253706408</v>
          </cell>
          <cell r="F76">
            <v>0.24806538333549258</v>
          </cell>
          <cell r="G76">
            <v>0.25567235504233277</v>
          </cell>
          <cell r="H76">
            <v>0.25554178798683375</v>
          </cell>
          <cell r="I76">
            <v>0.25326119188854807</v>
          </cell>
        </row>
      </sheetData>
      <sheetData sheetId="3"/>
      <sheetData sheetId="4"/>
      <sheetData sheetId="5">
        <row r="37">
          <cell r="D37">
            <v>7.1440000000000001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EA45-EE75-47DF-AF85-E0753F553095}">
  <dimension ref="A1"/>
  <sheetViews>
    <sheetView showGridLines="0" tabSelected="1" workbookViewId="0">
      <selection activeCell="H32" sqref="H32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9089-A91A-44DC-8B14-8B2E2691C356}">
  <dimension ref="B2:H25"/>
  <sheetViews>
    <sheetView showGridLines="0" workbookViewId="0">
      <selection activeCell="B10" sqref="B10"/>
    </sheetView>
  </sheetViews>
  <sheetFormatPr defaultColWidth="8.875" defaultRowHeight="15"/>
  <cols>
    <col min="1" max="1" width="4.75" style="6" customWidth="1"/>
    <col min="2" max="2" width="40.75" style="6" customWidth="1"/>
    <col min="3" max="3" width="6.75" style="6" customWidth="1"/>
    <col min="4" max="8" width="14.75" style="6" customWidth="1"/>
    <col min="9" max="9" width="4.75" style="6" customWidth="1"/>
    <col min="10" max="16384" width="8.875" style="6"/>
  </cols>
  <sheetData>
    <row r="2" spans="2:8">
      <c r="B2" s="8"/>
      <c r="C2" s="8"/>
      <c r="D2" s="8"/>
      <c r="E2" s="8"/>
      <c r="F2" s="8"/>
      <c r="G2" s="8"/>
      <c r="H2" s="8"/>
    </row>
    <row r="3" spans="2:8" ht="30.75" thickBot="1">
      <c r="B3" s="81" t="s">
        <v>0</v>
      </c>
      <c r="C3" s="13"/>
      <c r="D3" s="13"/>
      <c r="E3" s="13"/>
      <c r="F3" s="13"/>
      <c r="G3" s="13"/>
      <c r="H3" s="13"/>
    </row>
    <row r="5" spans="2:8">
      <c r="B5" s="82" t="s">
        <v>1</v>
      </c>
      <c r="C5" s="82"/>
      <c r="D5" s="82" t="s">
        <v>2</v>
      </c>
      <c r="E5" s="83"/>
      <c r="F5"/>
      <c r="G5"/>
      <c r="H5"/>
    </row>
    <row r="6" spans="2:8" ht="3.95" customHeight="1">
      <c r="F6"/>
      <c r="G6"/>
      <c r="H6"/>
    </row>
    <row r="7" spans="2:8" ht="18">
      <c r="B7" s="84" t="s">
        <v>3</v>
      </c>
      <c r="D7" s="11">
        <v>1</v>
      </c>
      <c r="F7"/>
      <c r="G7"/>
      <c r="H7"/>
    </row>
    <row r="8" spans="2:8" ht="18">
      <c r="B8" s="84" t="s">
        <v>4</v>
      </c>
      <c r="D8" s="11">
        <f>D7+1</f>
        <v>2</v>
      </c>
      <c r="F8"/>
      <c r="G8"/>
      <c r="H8"/>
    </row>
    <row r="9" spans="2:8" ht="18">
      <c r="B9" s="84" t="s">
        <v>5</v>
      </c>
      <c r="D9" s="11">
        <f t="shared" ref="D9:D13" si="0">D8+1</f>
        <v>3</v>
      </c>
      <c r="F9"/>
      <c r="G9"/>
      <c r="H9"/>
    </row>
    <row r="10" spans="2:8" ht="18">
      <c r="B10" s="84" t="s">
        <v>6</v>
      </c>
      <c r="D10" s="11">
        <f t="shared" si="0"/>
        <v>4</v>
      </c>
      <c r="F10"/>
      <c r="G10"/>
      <c r="H10"/>
    </row>
    <row r="11" spans="2:8" ht="18">
      <c r="B11" s="84" t="s">
        <v>7</v>
      </c>
      <c r="D11" s="11">
        <f t="shared" si="0"/>
        <v>5</v>
      </c>
      <c r="F11"/>
      <c r="G11"/>
      <c r="H11"/>
    </row>
    <row r="12" spans="2:8" ht="18">
      <c r="B12" s="84" t="s">
        <v>8</v>
      </c>
      <c r="D12" s="11">
        <f t="shared" si="0"/>
        <v>6</v>
      </c>
      <c r="F12"/>
      <c r="G12"/>
      <c r="H12"/>
    </row>
    <row r="13" spans="2:8" ht="18">
      <c r="B13" s="84" t="s">
        <v>9</v>
      </c>
      <c r="D13" s="11">
        <f t="shared" si="0"/>
        <v>7</v>
      </c>
      <c r="F13"/>
      <c r="G13"/>
      <c r="H13"/>
    </row>
    <row r="14" spans="2:8" ht="18">
      <c r="B14" s="84"/>
      <c r="D14" s="11"/>
      <c r="F14"/>
      <c r="G14"/>
      <c r="H14"/>
    </row>
    <row r="15" spans="2:8" ht="18">
      <c r="B15" s="84"/>
      <c r="D15" s="11"/>
      <c r="F15"/>
      <c r="G15"/>
      <c r="H15"/>
    </row>
    <row r="16" spans="2:8" ht="18">
      <c r="B16" s="84"/>
      <c r="D16" s="11"/>
      <c r="F16"/>
      <c r="G16"/>
      <c r="H16"/>
    </row>
    <row r="17" spans="2:8" ht="18">
      <c r="B17" s="84"/>
      <c r="D17" s="11"/>
      <c r="F17"/>
      <c r="G17"/>
      <c r="H17"/>
    </row>
    <row r="18" spans="2:8" ht="18">
      <c r="B18" s="84"/>
      <c r="D18" s="11"/>
      <c r="F18"/>
      <c r="G18"/>
      <c r="H18"/>
    </row>
    <row r="19" spans="2:8" ht="18">
      <c r="B19" s="84"/>
      <c r="D19" s="11"/>
      <c r="F19"/>
      <c r="G19"/>
      <c r="H19"/>
    </row>
    <row r="20" spans="2:8" ht="18">
      <c r="B20" s="84"/>
      <c r="D20" s="11"/>
      <c r="F20"/>
      <c r="G20"/>
      <c r="H20"/>
    </row>
    <row r="21" spans="2:8" ht="18">
      <c r="B21" s="84"/>
      <c r="D21" s="11"/>
      <c r="F21"/>
      <c r="G21"/>
      <c r="H21"/>
    </row>
    <row r="22" spans="2:8" ht="18">
      <c r="B22" s="84"/>
      <c r="D22" s="11"/>
      <c r="F22"/>
      <c r="G22"/>
      <c r="H22"/>
    </row>
    <row r="23" spans="2:8" ht="18">
      <c r="B23" s="84"/>
      <c r="D23" s="11"/>
      <c r="F23"/>
      <c r="G23"/>
      <c r="H23"/>
    </row>
    <row r="24" spans="2:8" ht="18">
      <c r="B24" s="84"/>
      <c r="D24" s="11"/>
      <c r="F24"/>
      <c r="G24"/>
      <c r="H24"/>
    </row>
    <row r="25" spans="2:8" ht="18">
      <c r="B25" s="84"/>
      <c r="D25" s="11"/>
      <c r="F25"/>
      <c r="G25"/>
      <c r="H25"/>
    </row>
  </sheetData>
  <hyperlinks>
    <hyperlink ref="B7" location="'Inputs&amp;Assumptions'!A1" display="'Inputs&amp;Assumptions'!A1" xr:uid="{5C1400FF-0D01-4838-956A-F904B51D1187}"/>
  </hyperlink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423B-FC79-41AB-A636-EFF8C5CB9B9A}">
  <dimension ref="B1:J65"/>
  <sheetViews>
    <sheetView showGridLines="0" topLeftCell="A16" zoomScale="115" zoomScaleNormal="115" workbookViewId="0">
      <selection activeCell="I23" sqref="I23"/>
    </sheetView>
  </sheetViews>
  <sheetFormatPr defaultColWidth="8.75" defaultRowHeight="15"/>
  <cols>
    <col min="1" max="1" width="4.625" style="6" customWidth="1"/>
    <col min="2" max="2" width="40.625" style="6" customWidth="1"/>
    <col min="3" max="3" width="8.75" style="6"/>
    <col min="4" max="4" width="11.125" style="6" bestFit="1" customWidth="1"/>
    <col min="5" max="9" width="10.625" style="6" customWidth="1"/>
    <col min="10" max="16384" width="8.75" style="6"/>
  </cols>
  <sheetData>
    <row r="1" spans="2:10" customFormat="1" ht="14.25"/>
    <row r="2" spans="2:10" customFormat="1" ht="14.25">
      <c r="B2" s="8" t="str">
        <f>"Exihibit "&amp;VLOOKUP('Residual Income'!B3,TOC!$B$7:$D$13,3,FALSE)</f>
        <v>Exihibit 1</v>
      </c>
      <c r="C2" s="8"/>
      <c r="D2" s="8"/>
      <c r="E2" s="8"/>
      <c r="F2" s="8"/>
      <c r="G2" s="8"/>
      <c r="H2" s="8"/>
      <c r="I2" s="8"/>
    </row>
    <row r="3" spans="2:10" customFormat="1" ht="30">
      <c r="B3" s="9" t="s">
        <v>3</v>
      </c>
      <c r="C3" s="10"/>
      <c r="D3" s="10"/>
      <c r="E3" s="10"/>
      <c r="F3" s="10"/>
      <c r="G3" s="10"/>
      <c r="H3" s="10"/>
      <c r="I3" s="10"/>
    </row>
    <row r="4" spans="2:10" customFormat="1" ht="15.75" thickBot="1">
      <c r="B4" s="12" t="s">
        <v>10</v>
      </c>
      <c r="C4" s="13"/>
      <c r="D4" s="13"/>
      <c r="E4" s="14"/>
      <c r="F4" s="14"/>
      <c r="G4" s="14"/>
      <c r="H4" s="14"/>
      <c r="I4" s="14"/>
    </row>
    <row r="5" spans="2:10" customFormat="1" ht="14.25"/>
    <row r="6" spans="2:10" customFormat="1">
      <c r="B6" s="65" t="s">
        <v>11</v>
      </c>
    </row>
    <row r="7" spans="2:10" customFormat="1" ht="14.25">
      <c r="B7" t="s">
        <v>12</v>
      </c>
      <c r="C7" s="77">
        <v>0.25939810773890398</v>
      </c>
      <c r="E7" t="s">
        <v>13</v>
      </c>
      <c r="I7" s="63">
        <f>D13/AVERAGE(D21,D23)</f>
        <v>0.17472270127495981</v>
      </c>
    </row>
    <row r="8" spans="2:10" customFormat="1" ht="14.25">
      <c r="B8" t="s">
        <v>14</v>
      </c>
      <c r="C8" s="77">
        <v>0.1522</v>
      </c>
      <c r="E8" t="s">
        <v>15</v>
      </c>
      <c r="I8" s="91">
        <f>WACC!D14</f>
        <v>0.13742137053549336</v>
      </c>
    </row>
    <row r="9" spans="2:10" customFormat="1" ht="14.25">
      <c r="B9" t="s">
        <v>16</v>
      </c>
      <c r="C9" s="77">
        <v>0.3</v>
      </c>
      <c r="E9" t="s">
        <v>17</v>
      </c>
      <c r="I9" s="66">
        <f>I7*(1-AVERAGE(C8:C9))</f>
        <v>0.13521789851669141</v>
      </c>
      <c r="J9" s="66"/>
    </row>
    <row r="10" spans="2:10" customFormat="1" ht="14.25"/>
    <row r="11" spans="2:10" customFormat="1" ht="14.25">
      <c r="B11" s="68" t="s">
        <v>18</v>
      </c>
      <c r="C11" s="69"/>
      <c r="D11" s="70">
        <v>2025</v>
      </c>
      <c r="E11" s="71">
        <f>D11+1</f>
        <v>2026</v>
      </c>
      <c r="F11" s="71">
        <f t="shared" ref="F11:I11" si="0">E11+1</f>
        <v>2027</v>
      </c>
      <c r="G11" s="71">
        <f t="shared" si="0"/>
        <v>2028</v>
      </c>
      <c r="H11" s="71">
        <f t="shared" si="0"/>
        <v>2029</v>
      </c>
      <c r="I11" s="71">
        <f t="shared" si="0"/>
        <v>2030</v>
      </c>
    </row>
    <row r="12" spans="2:10" customFormat="1" ht="3.95" customHeight="1"/>
    <row r="13" spans="2:10">
      <c r="B13" t="s">
        <v>19</v>
      </c>
      <c r="C13"/>
      <c r="D13" s="1">
        <f>$C$7*Regression!O8</f>
        <v>483.34029199759522</v>
      </c>
      <c r="E13" s="1">
        <f>$C$7*Regression!P8</f>
        <v>479.0950827316293</v>
      </c>
      <c r="F13" s="1">
        <f>$C$7*Regression!Q8</f>
        <v>528.78979405663949</v>
      </c>
      <c r="G13" s="1">
        <f>$C$7*Regression!R8</f>
        <v>579.80779933226495</v>
      </c>
      <c r="H13" s="1">
        <f>$C$7*Regression!S8</f>
        <v>631.96096290716821</v>
      </c>
      <c r="I13" s="1">
        <f>$C$7*Regression!T8</f>
        <v>685.03883209120272</v>
      </c>
      <c r="J13" s="2"/>
    </row>
    <row r="14" spans="2:10">
      <c r="B14" t="s">
        <v>20</v>
      </c>
      <c r="C14"/>
      <c r="D14" s="1">
        <f t="shared" ref="D14:I14" si="1">$I$8*D21</f>
        <v>351.99659534443413</v>
      </c>
      <c r="E14" s="1">
        <f t="shared" si="1"/>
        <v>408.30856107377406</v>
      </c>
      <c r="F14" s="1">
        <f t="shared" si="1"/>
        <v>462.17976673104778</v>
      </c>
      <c r="G14" s="1">
        <f t="shared" si="1"/>
        <v>519.49079066430284</v>
      </c>
      <c r="H14" s="1">
        <f t="shared" si="1"/>
        <v>579.9759406876334</v>
      </c>
      <c r="I14" s="1">
        <f t="shared" si="1"/>
        <v>643.33453631608063</v>
      </c>
      <c r="J14" s="2"/>
    </row>
    <row r="15" spans="2:10" ht="15.75">
      <c r="B15" s="72" t="s">
        <v>21</v>
      </c>
      <c r="C15" s="3"/>
      <c r="D15" s="4">
        <f>D13-D14</f>
        <v>131.34369665316109</v>
      </c>
      <c r="E15" s="4">
        <f>E13-E14</f>
        <v>70.786521657855246</v>
      </c>
      <c r="F15" s="4">
        <f>F13-F14</f>
        <v>66.610027325591716</v>
      </c>
      <c r="G15" s="4">
        <f t="shared" ref="G15:H15" si="2">G13-G14</f>
        <v>60.317008667962114</v>
      </c>
      <c r="H15" s="4">
        <f t="shared" si="2"/>
        <v>51.985022219534812</v>
      </c>
      <c r="I15" s="4">
        <f>I13-I14</f>
        <v>41.704295775122091</v>
      </c>
      <c r="J15" s="4"/>
    </row>
    <row r="16" spans="2:10" ht="15.75">
      <c r="B16" s="76" t="s">
        <v>22</v>
      </c>
      <c r="C16" s="3"/>
      <c r="D16" s="4"/>
      <c r="E16" s="63"/>
      <c r="F16" s="63"/>
      <c r="G16" s="63"/>
      <c r="H16" s="63"/>
      <c r="I16" s="1">
        <f>(I15*(1+I9))/(I8-I9)</f>
        <v>21485.847156204814</v>
      </c>
      <c r="J16"/>
    </row>
    <row r="17" spans="2:10" ht="15.75">
      <c r="B17" s="72"/>
      <c r="C17" s="3"/>
      <c r="D17" s="4"/>
      <c r="E17" s="63"/>
      <c r="F17" s="63"/>
      <c r="G17" s="63"/>
      <c r="H17" s="63"/>
      <c r="I17" s="63"/>
      <c r="J17"/>
    </row>
    <row r="18" spans="2:10" ht="15.75">
      <c r="B18" t="s">
        <v>23</v>
      </c>
      <c r="C18" s="3"/>
      <c r="D18" s="91">
        <f>C8</f>
        <v>0.1522</v>
      </c>
      <c r="E18" s="63">
        <f>D18+(($C$9-$D$18)/5)</f>
        <v>0.18176</v>
      </c>
      <c r="F18" s="63">
        <f>E18+(($C$9-$D$18)/5)</f>
        <v>0.21132000000000001</v>
      </c>
      <c r="G18" s="63">
        <f>F18+(($C$9-$D$18)/5)</f>
        <v>0.24088000000000001</v>
      </c>
      <c r="H18" s="63">
        <f>G18+(($C$9-$D$18)/5)</f>
        <v>0.27044000000000001</v>
      </c>
      <c r="I18" s="63">
        <f>H18+(($C$9-$D$18)/5)</f>
        <v>0.3</v>
      </c>
      <c r="J18"/>
    </row>
    <row r="19" spans="2:10">
      <c r="B19" t="s">
        <v>24</v>
      </c>
      <c r="C19"/>
      <c r="D19" s="2">
        <f>D13*D18</f>
        <v>73.564392442033991</v>
      </c>
      <c r="E19" s="2">
        <f>E13*E18</f>
        <v>87.080322237300948</v>
      </c>
      <c r="F19" s="2">
        <f t="shared" ref="F19:I19" si="3">F13*F18</f>
        <v>111.74385928004907</v>
      </c>
      <c r="G19" s="2">
        <f t="shared" si="3"/>
        <v>139.66410270315598</v>
      </c>
      <c r="H19" s="2">
        <f t="shared" si="3"/>
        <v>170.90752280861457</v>
      </c>
      <c r="I19" s="2">
        <f t="shared" si="3"/>
        <v>205.51164962736081</v>
      </c>
      <c r="J19"/>
    </row>
    <row r="20" spans="2:10">
      <c r="B20"/>
      <c r="C20"/>
      <c r="D20"/>
      <c r="E20"/>
      <c r="F20"/>
      <c r="G20"/>
      <c r="H20"/>
      <c r="I20"/>
      <c r="J20"/>
    </row>
    <row r="21" spans="2:10">
      <c r="B21" t="s">
        <v>25</v>
      </c>
      <c r="C21"/>
      <c r="D21" s="89">
        <v>2561.44</v>
      </c>
      <c r="E21" s="87">
        <f>D23</f>
        <v>2971.2158995555615</v>
      </c>
      <c r="F21" s="87">
        <f t="shared" ref="F21:H21" si="4">E23</f>
        <v>3363.2306600498896</v>
      </c>
      <c r="G21" s="87">
        <f t="shared" si="4"/>
        <v>3780.27659482648</v>
      </c>
      <c r="H21" s="87">
        <f t="shared" si="4"/>
        <v>4220.420291455589</v>
      </c>
      <c r="I21" s="87">
        <f>H23</f>
        <v>4681.4737315541424</v>
      </c>
      <c r="J21"/>
    </row>
    <row r="22" spans="2:10">
      <c r="B22" t="s">
        <v>26</v>
      </c>
      <c r="C22"/>
      <c r="D22" s="1">
        <f>D13-D19</f>
        <v>409.77589955556124</v>
      </c>
      <c r="E22" s="1">
        <f t="shared" ref="E22:I22" si="5">E13-E19</f>
        <v>392.01476049432836</v>
      </c>
      <c r="F22" s="1">
        <f t="shared" si="5"/>
        <v>417.04593477659046</v>
      </c>
      <c r="G22" s="1">
        <f t="shared" si="5"/>
        <v>440.14369662910894</v>
      </c>
      <c r="H22" s="1">
        <f t="shared" si="5"/>
        <v>461.05344009855366</v>
      </c>
      <c r="I22" s="1">
        <f t="shared" si="5"/>
        <v>479.52718246384188</v>
      </c>
      <c r="J22"/>
    </row>
    <row r="23" spans="2:10" ht="15.75">
      <c r="B23" s="72" t="s">
        <v>27</v>
      </c>
      <c r="C23" s="3"/>
      <c r="D23" s="4">
        <f>D21+D22</f>
        <v>2971.2158995555615</v>
      </c>
      <c r="E23" s="4">
        <f t="shared" ref="E23:I23" si="6">E21+E22</f>
        <v>3363.2306600498896</v>
      </c>
      <c r="F23" s="4">
        <f t="shared" si="6"/>
        <v>3780.27659482648</v>
      </c>
      <c r="G23" s="4">
        <f t="shared" si="6"/>
        <v>4220.420291455589</v>
      </c>
      <c r="H23" s="4">
        <f t="shared" si="6"/>
        <v>4681.4737315541424</v>
      </c>
      <c r="I23" s="4">
        <f t="shared" si="6"/>
        <v>5161.0009140179845</v>
      </c>
      <c r="J23"/>
    </row>
    <row r="24" spans="2:10">
      <c r="B24"/>
      <c r="C24"/>
      <c r="D24"/>
      <c r="E24"/>
      <c r="F24"/>
      <c r="G24"/>
      <c r="H24"/>
      <c r="I24"/>
      <c r="J24"/>
    </row>
    <row r="25" spans="2:10">
      <c r="B25" t="s">
        <v>28</v>
      </c>
      <c r="C25"/>
      <c r="D25" s="86">
        <v>45945</v>
      </c>
      <c r="E25"/>
      <c r="F25"/>
      <c r="G25"/>
      <c r="H25"/>
      <c r="I25"/>
      <c r="J25"/>
    </row>
    <row r="26" spans="2:10">
      <c r="B26" t="s">
        <v>29</v>
      </c>
      <c r="C26"/>
      <c r="D26" s="86">
        <v>46112</v>
      </c>
      <c r="E26"/>
      <c r="F26"/>
      <c r="G26"/>
      <c r="H26"/>
      <c r="I26"/>
      <c r="J26"/>
    </row>
    <row r="27" spans="2:10">
      <c r="B27"/>
      <c r="C27"/>
      <c r="D27" s="74"/>
      <c r="E27"/>
      <c r="F27"/>
      <c r="G27"/>
      <c r="H27"/>
      <c r="I27"/>
      <c r="J27"/>
    </row>
    <row r="28" spans="2:10">
      <c r="B28" t="s">
        <v>30</v>
      </c>
      <c r="C28"/>
      <c r="D28" s="75">
        <f>YEARFRAC($D$25,$D$26)</f>
        <v>0.46111111111111114</v>
      </c>
      <c r="E28" s="75">
        <f>D28+1</f>
        <v>1.4611111111111112</v>
      </c>
      <c r="F28" s="75">
        <f t="shared" ref="F28:I28" si="7">E28+1</f>
        <v>2.4611111111111112</v>
      </c>
      <c r="G28" s="75">
        <f t="shared" si="7"/>
        <v>3.4611111111111112</v>
      </c>
      <c r="H28" s="75">
        <f t="shared" si="7"/>
        <v>4.4611111111111112</v>
      </c>
      <c r="I28" s="75">
        <f t="shared" si="7"/>
        <v>5.4611111111111112</v>
      </c>
      <c r="J28"/>
    </row>
    <row r="29" spans="2:10">
      <c r="B29" t="s">
        <v>31</v>
      </c>
      <c r="C29"/>
      <c r="D29" s="2">
        <f t="shared" ref="D29:I29" si="8">1/(1+$I$8)^D28</f>
        <v>0.94235389205791875</v>
      </c>
      <c r="E29" s="2">
        <f t="shared" si="8"/>
        <v>0.82850025194643762</v>
      </c>
      <c r="F29" s="2">
        <f t="shared" si="8"/>
        <v>0.72840222050371972</v>
      </c>
      <c r="G29" s="2">
        <f t="shared" si="8"/>
        <v>0.64039786781990116</v>
      </c>
      <c r="H29" s="2">
        <f t="shared" si="8"/>
        <v>0.56302605561068764</v>
      </c>
      <c r="I29" s="2">
        <f t="shared" si="8"/>
        <v>0.495002177904937</v>
      </c>
      <c r="J29"/>
    </row>
    <row r="30" spans="2:10">
      <c r="B30"/>
      <c r="C30"/>
      <c r="D30"/>
      <c r="E30"/>
      <c r="F30"/>
      <c r="G30"/>
      <c r="H30"/>
      <c r="I30"/>
      <c r="J30"/>
    </row>
    <row r="31" spans="2:10">
      <c r="B31" t="s">
        <v>32</v>
      </c>
      <c r="C31"/>
      <c r="D31" s="1">
        <f>D$29*D15</f>
        <v>123.77224373838099</v>
      </c>
      <c r="E31" s="1">
        <f t="shared" ref="E31:G31" si="9">E$29*E15</f>
        <v>58.646651027945033</v>
      </c>
      <c r="F31" s="1">
        <f t="shared" si="9"/>
        <v>48.518891811774452</v>
      </c>
      <c r="G31" s="1">
        <f t="shared" si="9"/>
        <v>38.626883744237432</v>
      </c>
      <c r="H31" s="1">
        <f>H$29*H15</f>
        <v>29.268922011098638</v>
      </c>
      <c r="I31" s="1">
        <f>I$29*I15</f>
        <v>20.643717236677098</v>
      </c>
      <c r="J31"/>
    </row>
    <row r="32" spans="2:10">
      <c r="B32" t="s">
        <v>33</v>
      </c>
      <c r="C32"/>
      <c r="D32"/>
      <c r="E32"/>
      <c r="F32"/>
      <c r="G32"/>
      <c r="H32"/>
      <c r="I32" s="1">
        <f>I$29*I16</f>
        <v>10635.54113645398</v>
      </c>
      <c r="J32"/>
    </row>
    <row r="33" spans="2:10">
      <c r="B33"/>
      <c r="C33"/>
      <c r="D33"/>
      <c r="E33"/>
      <c r="F33"/>
      <c r="G33"/>
      <c r="H33"/>
      <c r="I33"/>
      <c r="J33"/>
    </row>
    <row r="34" spans="2:10">
      <c r="B34" t="s">
        <v>34</v>
      </c>
      <c r="C34"/>
      <c r="D34" s="2">
        <f>SUM(D31:I32)</f>
        <v>10955.018446024093</v>
      </c>
      <c r="E34"/>
      <c r="F34"/>
      <c r="G34"/>
      <c r="H34"/>
      <c r="I34"/>
      <c r="J34"/>
    </row>
    <row r="35" spans="2:10">
      <c r="B35" t="s">
        <v>35</v>
      </c>
      <c r="C35"/>
      <c r="D35" s="2">
        <f>D34+D21</f>
        <v>13516.458446024093</v>
      </c>
      <c r="E35"/>
      <c r="F35"/>
      <c r="G35"/>
      <c r="H35"/>
      <c r="I35"/>
      <c r="J35"/>
    </row>
    <row r="36" spans="2:10">
      <c r="B36"/>
      <c r="C36"/>
      <c r="D36"/>
      <c r="E36"/>
      <c r="F36"/>
      <c r="G36"/>
      <c r="H36"/>
      <c r="I36"/>
      <c r="J36"/>
    </row>
    <row r="37" spans="2:10">
      <c r="B37" t="s">
        <v>36</v>
      </c>
      <c r="C37"/>
      <c r="D37" s="90">
        <v>7.14</v>
      </c>
      <c r="E37"/>
      <c r="F37"/>
      <c r="G37" s="2"/>
      <c r="H37"/>
      <c r="I37"/>
      <c r="J37"/>
    </row>
    <row r="38" spans="2:10">
      <c r="B38"/>
      <c r="C38"/>
      <c r="D38"/>
      <c r="E38"/>
      <c r="F38"/>
      <c r="G38" s="2"/>
      <c r="H38"/>
      <c r="I38"/>
      <c r="J38"/>
    </row>
    <row r="39" spans="2:10" ht="15.75">
      <c r="B39" s="43" t="s">
        <v>37</v>
      </c>
      <c r="C39" s="43"/>
      <c r="D39" s="64">
        <f>D35/D37</f>
        <v>1893.0614070061756</v>
      </c>
      <c r="E39"/>
      <c r="F39"/>
      <c r="G39" s="2"/>
      <c r="H39"/>
      <c r="I39"/>
      <c r="J39"/>
    </row>
    <row r="40" spans="2:10">
      <c r="B40"/>
      <c r="C40"/>
      <c r="D40"/>
      <c r="E40"/>
      <c r="F40"/>
      <c r="G40"/>
      <c r="H40"/>
      <c r="I40"/>
      <c r="J40"/>
    </row>
    <row r="41" spans="2:10">
      <c r="B41"/>
      <c r="C41" s="103" t="s">
        <v>38</v>
      </c>
      <c r="D41" s="1">
        <f>$D$39*(1+$D$44)</f>
        <v>2082.3675477067932</v>
      </c>
      <c r="E41"/>
      <c r="F41"/>
      <c r="G41"/>
      <c r="H41"/>
      <c r="I41"/>
      <c r="J41"/>
    </row>
    <row r="42" spans="2:10">
      <c r="B42"/>
      <c r="C42" s="103" t="s">
        <v>39</v>
      </c>
      <c r="D42" s="1">
        <f>$D$39*(1-$D$44)</f>
        <v>1703.7552663055581</v>
      </c>
      <c r="E42"/>
      <c r="F42"/>
      <c r="G42"/>
      <c r="H42"/>
      <c r="I42"/>
      <c r="J42"/>
    </row>
    <row r="43" spans="2:10">
      <c r="B43"/>
      <c r="C43" s="103"/>
      <c r="D43" s="1"/>
      <c r="E43"/>
      <c r="F43"/>
      <c r="G43"/>
      <c r="H43"/>
      <c r="I43"/>
      <c r="J43"/>
    </row>
    <row r="44" spans="2:10">
      <c r="B44"/>
      <c r="C44" s="103" t="s">
        <v>40</v>
      </c>
      <c r="D44" s="105">
        <v>0.1</v>
      </c>
      <c r="E44"/>
      <c r="F44"/>
      <c r="G44"/>
      <c r="H44"/>
      <c r="I44"/>
      <c r="J44"/>
    </row>
    <row r="45" spans="2:10">
      <c r="B45"/>
      <c r="C45" s="103" t="s">
        <v>41</v>
      </c>
      <c r="D45" s="104">
        <f>1/88.2898</f>
        <v>1.1326336677623009E-2</v>
      </c>
      <c r="E45"/>
      <c r="F45"/>
      <c r="G45"/>
      <c r="H45"/>
      <c r="I45"/>
      <c r="J45"/>
    </row>
    <row r="46" spans="2:10">
      <c r="B46"/>
      <c r="C46" s="103" t="s">
        <v>42</v>
      </c>
      <c r="D46" s="1">
        <f>D39*$D$45</f>
        <v>21.441450847166667</v>
      </c>
      <c r="E46"/>
      <c r="F46"/>
      <c r="G46"/>
      <c r="H46"/>
      <c r="I46"/>
      <c r="J46"/>
    </row>
    <row r="47" spans="2:10">
      <c r="B47"/>
      <c r="C47"/>
      <c r="D47" s="1"/>
      <c r="E47"/>
      <c r="F47"/>
      <c r="G47"/>
      <c r="H47"/>
      <c r="I47"/>
      <c r="J47"/>
    </row>
    <row r="48" spans="2:10">
      <c r="B48"/>
      <c r="C48" s="103" t="s">
        <v>43</v>
      </c>
      <c r="D48" s="1">
        <f>D41*$D$45</f>
        <v>23.585595931883333</v>
      </c>
      <c r="E48"/>
      <c r="F48"/>
      <c r="G48"/>
      <c r="H48"/>
      <c r="I48"/>
      <c r="J48"/>
    </row>
    <row r="49" spans="2:10">
      <c r="B49"/>
      <c r="C49" s="103" t="s">
        <v>44</v>
      </c>
      <c r="D49" s="1">
        <f>D42*$D$45</f>
        <v>19.297305762449998</v>
      </c>
      <c r="E49"/>
      <c r="F49"/>
      <c r="G49"/>
      <c r="H49"/>
      <c r="I49"/>
      <c r="J49"/>
    </row>
    <row r="50" spans="2:10">
      <c r="B50"/>
      <c r="C50"/>
      <c r="D50" s="1"/>
      <c r="E50"/>
      <c r="F50"/>
      <c r="G50"/>
      <c r="H50"/>
      <c r="I50"/>
      <c r="J50"/>
    </row>
    <row r="51" spans="2:10">
      <c r="B51"/>
      <c r="C51"/>
      <c r="D51"/>
      <c r="E51"/>
      <c r="F51"/>
      <c r="G51"/>
      <c r="H51"/>
      <c r="I51"/>
      <c r="J51"/>
    </row>
    <row r="52" spans="2:10">
      <c r="B52"/>
      <c r="C52"/>
      <c r="D52"/>
      <c r="E52"/>
      <c r="F52"/>
      <c r="G52"/>
      <c r="H52"/>
      <c r="I52"/>
      <c r="J52"/>
    </row>
    <row r="53" spans="2:10">
      <c r="B53"/>
      <c r="C53"/>
      <c r="D53"/>
      <c r="E53"/>
      <c r="F53"/>
      <c r="G53"/>
      <c r="H53"/>
      <c r="I53"/>
      <c r="J53"/>
    </row>
    <row r="54" spans="2:10">
      <c r="B54"/>
      <c r="C54"/>
      <c r="D54"/>
      <c r="E54"/>
      <c r="F54"/>
      <c r="G54"/>
      <c r="H54"/>
      <c r="I54"/>
      <c r="J54"/>
    </row>
    <row r="55" spans="2:10">
      <c r="B55"/>
      <c r="C55"/>
      <c r="D55"/>
      <c r="E55"/>
      <c r="F55"/>
      <c r="G55"/>
      <c r="H55"/>
      <c r="I55"/>
      <c r="J55"/>
    </row>
    <row r="56" spans="2:10">
      <c r="B56"/>
      <c r="C56"/>
      <c r="D56"/>
      <c r="E56"/>
      <c r="F56"/>
      <c r="G56"/>
      <c r="H56"/>
      <c r="I56"/>
      <c r="J56"/>
    </row>
    <row r="57" spans="2:10">
      <c r="B57"/>
      <c r="C57"/>
      <c r="D57"/>
      <c r="E57"/>
      <c r="F57"/>
      <c r="G57"/>
      <c r="H57"/>
      <c r="I57"/>
      <c r="J57"/>
    </row>
    <row r="58" spans="2:10">
      <c r="B58"/>
      <c r="C58"/>
      <c r="D58"/>
      <c r="E58"/>
      <c r="F58"/>
      <c r="G58"/>
      <c r="H58"/>
      <c r="I58"/>
      <c r="J58"/>
    </row>
    <row r="59" spans="2:10">
      <c r="B59"/>
      <c r="C59"/>
      <c r="D59"/>
      <c r="E59"/>
      <c r="F59"/>
      <c r="G59"/>
      <c r="H59"/>
      <c r="I59"/>
      <c r="J59"/>
    </row>
    <row r="60" spans="2:10">
      <c r="B60"/>
      <c r="C60"/>
      <c r="D60"/>
      <c r="E60"/>
      <c r="F60"/>
      <c r="G60"/>
      <c r="H60"/>
      <c r="I60"/>
      <c r="J60"/>
    </row>
    <row r="61" spans="2:10">
      <c r="B61"/>
      <c r="C61"/>
      <c r="D61"/>
      <c r="E61"/>
      <c r="F61"/>
      <c r="G61"/>
      <c r="H61"/>
      <c r="I61"/>
      <c r="J61"/>
    </row>
    <row r="62" spans="2:10">
      <c r="B62"/>
      <c r="C62"/>
      <c r="D62"/>
      <c r="E62"/>
      <c r="F62"/>
      <c r="G62"/>
      <c r="H62"/>
      <c r="I62"/>
      <c r="J62"/>
    </row>
    <row r="63" spans="2:10">
      <c r="B63"/>
      <c r="C63"/>
      <c r="D63"/>
      <c r="E63"/>
      <c r="F63"/>
      <c r="G63"/>
      <c r="H63"/>
      <c r="I63"/>
      <c r="J63"/>
    </row>
    <row r="64" spans="2:10">
      <c r="B64"/>
      <c r="C64"/>
      <c r="D64"/>
      <c r="E64"/>
      <c r="F64"/>
      <c r="G64"/>
      <c r="H64"/>
      <c r="I64"/>
      <c r="J64"/>
    </row>
    <row r="65" spans="2:10">
      <c r="B65"/>
      <c r="C65"/>
      <c r="D65"/>
      <c r="E65"/>
      <c r="F65"/>
      <c r="G65"/>
      <c r="H65"/>
      <c r="I65"/>
      <c r="J65"/>
    </row>
  </sheetData>
  <pageMargins left="0.7" right="0.7" top="0.75" bottom="0.75" header="0.3" footer="0.3"/>
  <pageSetup paperSize="9" orientation="portrait" r:id="rId1"/>
  <ignoredErrors>
    <ignoredError sqref="I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D0DA-BDE4-41BD-9EF2-E9A845925714}">
  <dimension ref="B1:K64"/>
  <sheetViews>
    <sheetView showGridLines="0" zoomScale="130" zoomScaleNormal="130" workbookViewId="0">
      <selection activeCell="I24" sqref="I24"/>
    </sheetView>
  </sheetViews>
  <sheetFormatPr defaultColWidth="8.75" defaultRowHeight="15"/>
  <cols>
    <col min="1" max="1" width="4.625" style="6" customWidth="1"/>
    <col min="2" max="2" width="40.625" style="6" customWidth="1"/>
    <col min="3" max="3" width="8.75" style="6"/>
    <col min="4" max="4" width="11.125" style="6" bestFit="1" customWidth="1"/>
    <col min="5" max="8" width="10.625" style="6" customWidth="1"/>
    <col min="9" max="9" width="11.375" style="6" bestFit="1" customWidth="1"/>
    <col min="10" max="10" width="11.125" style="6" bestFit="1" customWidth="1"/>
    <col min="11" max="16384" width="8.75" style="6"/>
  </cols>
  <sheetData>
    <row r="1" spans="2:11" customFormat="1" ht="14.25"/>
    <row r="2" spans="2:11" customFormat="1" ht="14.25">
      <c r="B2" s="8" t="str">
        <f>"Exihibit "&amp;VLOOKUP(B3,TOC!$B$7:$D$13,3,FALSE)</f>
        <v>Exihibit 2</v>
      </c>
      <c r="C2" s="8"/>
      <c r="D2" s="8"/>
      <c r="E2" s="8"/>
      <c r="F2" s="8"/>
      <c r="G2" s="8"/>
      <c r="H2" s="8"/>
      <c r="I2" s="8"/>
    </row>
    <row r="3" spans="2:11" customFormat="1" ht="30">
      <c r="B3" s="9" t="s">
        <v>4</v>
      </c>
      <c r="C3" s="10"/>
      <c r="D3" s="10"/>
      <c r="E3" s="10"/>
      <c r="F3" s="10"/>
      <c r="G3" s="10"/>
      <c r="H3" s="10"/>
      <c r="I3" s="10"/>
    </row>
    <row r="4" spans="2:11" customFormat="1" ht="15.75" thickBot="1">
      <c r="B4" s="12" t="s">
        <v>10</v>
      </c>
      <c r="C4" s="13"/>
      <c r="D4" s="13"/>
      <c r="E4" s="14"/>
      <c r="F4" s="14"/>
      <c r="G4" s="14"/>
      <c r="H4" s="14"/>
      <c r="I4" s="14"/>
    </row>
    <row r="5" spans="2:11" customFormat="1" ht="14.25"/>
    <row r="6" spans="2:11" customFormat="1">
      <c r="B6" s="65" t="s">
        <v>11</v>
      </c>
    </row>
    <row r="7" spans="2:11" customFormat="1" ht="14.25">
      <c r="B7" t="s">
        <v>12</v>
      </c>
      <c r="C7" s="88">
        <f>'Residual Income'!C7</f>
        <v>0.25939810773890398</v>
      </c>
      <c r="E7" t="s">
        <v>13</v>
      </c>
      <c r="I7" s="88">
        <f>'Residual Income'!I7</f>
        <v>0.17472270127495981</v>
      </c>
    </row>
    <row r="8" spans="2:11" customFormat="1" ht="14.25">
      <c r="B8" t="s">
        <v>14</v>
      </c>
      <c r="C8" s="88">
        <f>'Residual Income'!C8</f>
        <v>0.1522</v>
      </c>
      <c r="E8" t="s">
        <v>15</v>
      </c>
      <c r="I8" s="88">
        <f>'Residual Income'!I8</f>
        <v>0.13742137053549336</v>
      </c>
      <c r="K8" s="85"/>
    </row>
    <row r="9" spans="2:11" customFormat="1" ht="14.25">
      <c r="B9" t="s">
        <v>16</v>
      </c>
      <c r="C9" s="88">
        <f>'Residual Income'!C9</f>
        <v>0.3</v>
      </c>
      <c r="E9" t="s">
        <v>17</v>
      </c>
      <c r="I9" s="88">
        <f>'Residual Income'!I9</f>
        <v>0.13521789851669141</v>
      </c>
      <c r="J9" s="67"/>
    </row>
    <row r="10" spans="2:11" customFormat="1" ht="14.25"/>
    <row r="11" spans="2:11" customFormat="1" ht="14.25">
      <c r="B11" s="68" t="s">
        <v>18</v>
      </c>
      <c r="C11" s="69"/>
      <c r="D11" s="70">
        <v>2025</v>
      </c>
      <c r="E11" s="71">
        <f>D11+1</f>
        <v>2026</v>
      </c>
      <c r="F11" s="71">
        <f t="shared" ref="F11:I11" si="0">E11+1</f>
        <v>2027</v>
      </c>
      <c r="G11" s="71">
        <f t="shared" si="0"/>
        <v>2028</v>
      </c>
      <c r="H11" s="71">
        <f t="shared" si="0"/>
        <v>2029</v>
      </c>
      <c r="I11" s="71">
        <f t="shared" si="0"/>
        <v>2030</v>
      </c>
    </row>
    <row r="12" spans="2:11" customFormat="1" ht="3.95" customHeight="1"/>
    <row r="13" spans="2:11">
      <c r="B13" t="s">
        <v>19</v>
      </c>
      <c r="C13"/>
      <c r="D13" s="1">
        <f>$C$7*Regression!O8</f>
        <v>483.34029199759522</v>
      </c>
      <c r="E13" s="1">
        <f>$C$7*Regression!P8</f>
        <v>479.0950827316293</v>
      </c>
      <c r="F13" s="1">
        <f>$C$7*Regression!Q8</f>
        <v>528.78979405663949</v>
      </c>
      <c r="G13" s="1">
        <f>$C$7*Regression!R8</f>
        <v>579.80779933226495</v>
      </c>
      <c r="H13" s="1">
        <f>$C$7*Regression!S8</f>
        <v>631.96096290716821</v>
      </c>
      <c r="I13" s="1">
        <f>$C$7*Regression!T8</f>
        <v>685.03883209120272</v>
      </c>
      <c r="J13" s="2"/>
    </row>
    <row r="14" spans="2:11">
      <c r="B14"/>
      <c r="C14"/>
      <c r="D14" s="1"/>
      <c r="E14" s="1"/>
      <c r="F14" s="1"/>
      <c r="G14" s="1"/>
      <c r="H14" s="1"/>
      <c r="I14" s="1"/>
      <c r="J14" s="2"/>
    </row>
    <row r="15" spans="2:11" ht="15.75">
      <c r="B15" t="s">
        <v>23</v>
      </c>
      <c r="C15" s="3"/>
      <c r="D15" s="66">
        <f>C8</f>
        <v>0.1522</v>
      </c>
      <c r="E15" s="63">
        <f>D15+(($C$9-$D$15)/5)</f>
        <v>0.18176</v>
      </c>
      <c r="F15" s="63">
        <f t="shared" ref="F15:I15" si="1">E15+(($C$9-$D$15)/5)</f>
        <v>0.21132000000000001</v>
      </c>
      <c r="G15" s="63">
        <f t="shared" si="1"/>
        <v>0.24088000000000001</v>
      </c>
      <c r="H15" s="63">
        <f t="shared" si="1"/>
        <v>0.27044000000000001</v>
      </c>
      <c r="I15" s="63">
        <f t="shared" si="1"/>
        <v>0.3</v>
      </c>
      <c r="J15" s="63"/>
    </row>
    <row r="16" spans="2:11">
      <c r="B16" t="s">
        <v>24</v>
      </c>
      <c r="C16"/>
      <c r="D16" s="2">
        <f>D13*D15</f>
        <v>73.564392442033991</v>
      </c>
      <c r="E16" s="2">
        <f t="shared" ref="E16:H16" si="2">E13*E15</f>
        <v>87.080322237300948</v>
      </c>
      <c r="F16" s="2">
        <f t="shared" si="2"/>
        <v>111.74385928004907</v>
      </c>
      <c r="G16" s="2">
        <f t="shared" si="2"/>
        <v>139.66410270315598</v>
      </c>
      <c r="H16" s="2">
        <f t="shared" si="2"/>
        <v>170.90752280861457</v>
      </c>
      <c r="I16" s="2">
        <f>I13*I15</f>
        <v>205.51164962736081</v>
      </c>
      <c r="J16" s="2"/>
    </row>
    <row r="17" spans="2:10" ht="15.75">
      <c r="B17" s="78" t="s">
        <v>45</v>
      </c>
      <c r="C17" s="3"/>
      <c r="D17" s="4"/>
      <c r="E17" s="63"/>
      <c r="F17" s="63"/>
      <c r="G17" s="63"/>
      <c r="H17" s="63"/>
      <c r="I17" s="1">
        <f>I16*(1+I9)/(I8-I9)</f>
        <v>105878.58662145371</v>
      </c>
      <c r="J17" s="1"/>
    </row>
    <row r="18" spans="2:10" ht="15.75">
      <c r="B18" s="72"/>
      <c r="C18" s="3"/>
      <c r="D18" s="4"/>
      <c r="E18" s="63"/>
      <c r="F18" s="63"/>
      <c r="G18" s="63"/>
      <c r="H18" s="63"/>
      <c r="I18" s="63"/>
      <c r="J18"/>
    </row>
    <row r="19" spans="2:10">
      <c r="B19" t="s">
        <v>28</v>
      </c>
      <c r="C19"/>
      <c r="D19" s="86">
        <v>45945</v>
      </c>
      <c r="E19"/>
      <c r="F19"/>
      <c r="G19"/>
      <c r="H19"/>
      <c r="I19"/>
      <c r="J19"/>
    </row>
    <row r="20" spans="2:10">
      <c r="B20" t="s">
        <v>29</v>
      </c>
      <c r="C20"/>
      <c r="D20" s="86">
        <v>46112</v>
      </c>
      <c r="E20"/>
      <c r="F20"/>
      <c r="G20"/>
      <c r="H20"/>
      <c r="I20"/>
      <c r="J20"/>
    </row>
    <row r="21" spans="2:10">
      <c r="B21"/>
      <c r="C21"/>
      <c r="D21" s="74"/>
      <c r="E21"/>
      <c r="F21"/>
      <c r="G21"/>
      <c r="H21"/>
      <c r="I21"/>
      <c r="J21"/>
    </row>
    <row r="22" spans="2:10">
      <c r="B22" t="s">
        <v>30</v>
      </c>
      <c r="C22"/>
      <c r="D22" s="75">
        <f>YEARFRAC($D$19,$D$20,1)</f>
        <v>0.45753424657534247</v>
      </c>
      <c r="E22" s="75">
        <f>D22+1</f>
        <v>1.4575342465753425</v>
      </c>
      <c r="F22" s="75">
        <f t="shared" ref="F22:I22" si="3">E22+1</f>
        <v>2.4575342465753423</v>
      </c>
      <c r="G22" s="75">
        <f t="shared" si="3"/>
        <v>3.4575342465753423</v>
      </c>
      <c r="H22" s="75">
        <f t="shared" si="3"/>
        <v>4.4575342465753423</v>
      </c>
      <c r="I22" s="75">
        <f t="shared" si="3"/>
        <v>5.4575342465753423</v>
      </c>
      <c r="J22"/>
    </row>
    <row r="23" spans="2:10">
      <c r="B23" t="s">
        <v>31</v>
      </c>
      <c r="C23"/>
      <c r="D23" s="2">
        <f t="shared" ref="D23:I23" si="4">1/(1+$I$8)^D22</f>
        <v>0.94278801239835186</v>
      </c>
      <c r="E23" s="2">
        <f t="shared" si="4"/>
        <v>0.82888192258467164</v>
      </c>
      <c r="F23" s="2">
        <f t="shared" si="4"/>
        <v>0.72873777832610742</v>
      </c>
      <c r="G23" s="2">
        <f t="shared" si="4"/>
        <v>0.64069288410065706</v>
      </c>
      <c r="H23" s="2">
        <f t="shared" si="4"/>
        <v>0.56328542851188157</v>
      </c>
      <c r="I23" s="2">
        <f t="shared" si="4"/>
        <v>0.49523021380079141</v>
      </c>
      <c r="J23"/>
    </row>
    <row r="24" spans="2:10" ht="15.75">
      <c r="B24" s="72"/>
      <c r="C24" s="3"/>
      <c r="D24" s="4"/>
      <c r="E24" s="4"/>
      <c r="F24" s="4"/>
      <c r="G24" s="4"/>
      <c r="H24" s="4"/>
      <c r="I24" s="4"/>
      <c r="J24"/>
    </row>
    <row r="25" spans="2:10">
      <c r="B25" t="s">
        <v>46</v>
      </c>
      <c r="C25"/>
      <c r="D25" s="1">
        <f>D16*D$23</f>
        <v>69.355627333717564</v>
      </c>
      <c r="E25" s="1">
        <f t="shared" ref="E25:H25" si="5">E16*E$23</f>
        <v>72.179304915346748</v>
      </c>
      <c r="F25" s="1">
        <f t="shared" si="5"/>
        <v>81.431971753328142</v>
      </c>
      <c r="G25" s="1">
        <f>G16*G$23</f>
        <v>89.481796766215382</v>
      </c>
      <c r="H25" s="1">
        <f t="shared" si="5"/>
        <v>96.269717221154636</v>
      </c>
      <c r="I25" s="1">
        <f>I16*I$23</f>
        <v>101.77557818351123</v>
      </c>
      <c r="J25"/>
    </row>
    <row r="26" spans="2:10">
      <c r="B26"/>
      <c r="C26"/>
      <c r="D26" s="1"/>
      <c r="E26" s="1"/>
      <c r="F26" s="1"/>
      <c r="G26" s="1"/>
      <c r="H26" s="1"/>
      <c r="I26" s="1">
        <f>I17*I$23</f>
        <v>52434.27508946813</v>
      </c>
      <c r="J26"/>
    </row>
    <row r="27" spans="2:10">
      <c r="B27"/>
      <c r="C27"/>
      <c r="D27" s="73"/>
      <c r="E27"/>
      <c r="F27"/>
      <c r="G27"/>
      <c r="H27"/>
      <c r="I27"/>
      <c r="J27"/>
    </row>
    <row r="28" spans="2:10">
      <c r="B28" t="s">
        <v>47</v>
      </c>
      <c r="C28"/>
      <c r="D28" s="79">
        <f>SUM(D25:I26)</f>
        <v>52944.769085641405</v>
      </c>
      <c r="E28" s="2"/>
      <c r="F28"/>
      <c r="G28"/>
      <c r="H28"/>
      <c r="I28"/>
      <c r="J28"/>
    </row>
    <row r="29" spans="2:10">
      <c r="B29" t="s">
        <v>48</v>
      </c>
      <c r="C29"/>
      <c r="D29" s="87">
        <f>'Residual Income'!D37</f>
        <v>7.14</v>
      </c>
      <c r="E29" s="2"/>
      <c r="F29" s="75"/>
      <c r="G29" s="75"/>
      <c r="H29" s="75"/>
      <c r="I29" s="75"/>
      <c r="J29"/>
    </row>
    <row r="30" spans="2:10">
      <c r="B30"/>
      <c r="C30"/>
      <c r="D30"/>
      <c r="E30" s="2"/>
      <c r="F30" s="2"/>
      <c r="G30" s="2"/>
      <c r="H30" s="2"/>
      <c r="I30" s="2"/>
      <c r="J30"/>
    </row>
    <row r="31" spans="2:10" ht="15.75">
      <c r="B31" s="43" t="s">
        <v>37</v>
      </c>
      <c r="C31" s="43"/>
      <c r="D31" s="64">
        <f>D28/D29</f>
        <v>7415.2337654959956</v>
      </c>
      <c r="E31"/>
      <c r="F31"/>
      <c r="G31"/>
      <c r="H31"/>
      <c r="I31"/>
      <c r="J31"/>
    </row>
    <row r="32" spans="2:10">
      <c r="E32" s="1"/>
      <c r="F32" s="1"/>
      <c r="G32" s="1"/>
      <c r="H32" s="1"/>
      <c r="I32" s="1"/>
      <c r="J32"/>
    </row>
    <row r="33" spans="2:10">
      <c r="B33"/>
      <c r="C33"/>
      <c r="D33" s="2"/>
      <c r="E33"/>
      <c r="F33"/>
      <c r="G33"/>
      <c r="H33"/>
      <c r="I33" s="1"/>
      <c r="J33"/>
    </row>
    <row r="34" spans="2:10">
      <c r="B34"/>
      <c r="C34"/>
      <c r="D34"/>
      <c r="E34"/>
      <c r="F34"/>
      <c r="G34"/>
      <c r="H34"/>
      <c r="I34"/>
      <c r="J34"/>
    </row>
    <row r="35" spans="2:10">
      <c r="B35"/>
      <c r="C35"/>
      <c r="D35" s="2"/>
      <c r="E35"/>
      <c r="F35"/>
      <c r="G35"/>
      <c r="H35"/>
      <c r="I35"/>
      <c r="J35"/>
    </row>
    <row r="36" spans="2:10">
      <c r="B36"/>
      <c r="C36"/>
      <c r="D36" s="2"/>
      <c r="E36"/>
      <c r="F36"/>
      <c r="G36"/>
      <c r="H36"/>
      <c r="I36"/>
      <c r="J36"/>
    </row>
    <row r="37" spans="2:10">
      <c r="B37"/>
      <c r="C37"/>
      <c r="D37"/>
      <c r="E37"/>
      <c r="F37"/>
      <c r="G37"/>
      <c r="H37"/>
      <c r="I37"/>
      <c r="J37"/>
    </row>
    <row r="38" spans="2:10">
      <c r="B38"/>
      <c r="C38"/>
      <c r="D38"/>
      <c r="E38"/>
      <c r="F38"/>
      <c r="G38"/>
      <c r="H38"/>
      <c r="I38"/>
      <c r="J38"/>
    </row>
    <row r="39" spans="2:10">
      <c r="B39"/>
      <c r="C39"/>
      <c r="D39"/>
      <c r="E39"/>
      <c r="F39"/>
      <c r="G39"/>
      <c r="H39"/>
      <c r="I39"/>
      <c r="J39"/>
    </row>
    <row r="40" spans="2:10">
      <c r="B40"/>
      <c r="C40"/>
      <c r="D40" s="2"/>
      <c r="E40"/>
      <c r="F40"/>
      <c r="G40"/>
      <c r="H40"/>
      <c r="I40"/>
      <c r="J40"/>
    </row>
    <row r="41" spans="2:10">
      <c r="B41"/>
      <c r="C41"/>
      <c r="D41"/>
      <c r="E41"/>
      <c r="F41"/>
      <c r="G41"/>
      <c r="H41"/>
      <c r="I41"/>
      <c r="J41"/>
    </row>
    <row r="42" spans="2:10">
      <c r="B42"/>
      <c r="C42"/>
      <c r="D42"/>
      <c r="E42"/>
      <c r="F42"/>
      <c r="G42"/>
      <c r="H42"/>
      <c r="I42"/>
      <c r="J42"/>
    </row>
    <row r="43" spans="2:10">
      <c r="B43"/>
      <c r="C43"/>
      <c r="D43"/>
      <c r="E43"/>
      <c r="F43"/>
      <c r="G43"/>
      <c r="H43"/>
      <c r="I43"/>
      <c r="J43"/>
    </row>
    <row r="44" spans="2:10">
      <c r="B44"/>
      <c r="C44"/>
      <c r="D44"/>
      <c r="E44"/>
      <c r="F44"/>
      <c r="G44"/>
      <c r="H44"/>
      <c r="I44"/>
      <c r="J44"/>
    </row>
    <row r="45" spans="2:10">
      <c r="B45"/>
      <c r="C45"/>
      <c r="D45"/>
      <c r="E45"/>
      <c r="F45"/>
      <c r="G45"/>
      <c r="H45"/>
      <c r="I45"/>
      <c r="J45"/>
    </row>
    <row r="46" spans="2:10">
      <c r="B46"/>
      <c r="C46"/>
      <c r="D46"/>
      <c r="E46"/>
      <c r="F46"/>
      <c r="G46"/>
      <c r="H46"/>
      <c r="I46"/>
      <c r="J46"/>
    </row>
    <row r="47" spans="2:10">
      <c r="B47"/>
      <c r="C47"/>
      <c r="D47"/>
      <c r="E47"/>
      <c r="F47"/>
      <c r="G47"/>
      <c r="H47"/>
      <c r="I47"/>
      <c r="J47"/>
    </row>
    <row r="48" spans="2:10">
      <c r="B48"/>
      <c r="C48"/>
      <c r="D48"/>
      <c r="E48"/>
      <c r="F48"/>
      <c r="G48"/>
      <c r="H48"/>
      <c r="I48"/>
      <c r="J48"/>
    </row>
    <row r="49" spans="2:10">
      <c r="B49"/>
      <c r="C49"/>
      <c r="D49"/>
      <c r="E49"/>
      <c r="F49"/>
      <c r="G49"/>
      <c r="H49"/>
      <c r="I49"/>
      <c r="J49"/>
    </row>
    <row r="50" spans="2:10">
      <c r="B50"/>
      <c r="C50"/>
      <c r="D50"/>
      <c r="E50"/>
      <c r="F50"/>
      <c r="G50"/>
      <c r="H50"/>
      <c r="I50"/>
      <c r="J50"/>
    </row>
    <row r="51" spans="2:10">
      <c r="B51"/>
      <c r="C51"/>
      <c r="D51"/>
      <c r="E51"/>
      <c r="F51"/>
      <c r="G51"/>
      <c r="H51"/>
      <c r="I51"/>
      <c r="J51"/>
    </row>
    <row r="52" spans="2:10">
      <c r="B52"/>
      <c r="C52"/>
      <c r="D52"/>
      <c r="E52"/>
      <c r="F52"/>
      <c r="G52"/>
      <c r="H52"/>
      <c r="I52"/>
      <c r="J52"/>
    </row>
    <row r="53" spans="2:10">
      <c r="B53"/>
      <c r="C53"/>
      <c r="D53"/>
      <c r="E53"/>
      <c r="F53"/>
      <c r="G53"/>
      <c r="H53"/>
      <c r="I53"/>
      <c r="J53"/>
    </row>
    <row r="54" spans="2:10">
      <c r="B54"/>
      <c r="C54"/>
      <c r="D54"/>
      <c r="E54"/>
      <c r="F54"/>
      <c r="G54"/>
      <c r="H54"/>
      <c r="I54"/>
      <c r="J54"/>
    </row>
    <row r="55" spans="2:10">
      <c r="B55"/>
      <c r="C55"/>
      <c r="D55"/>
      <c r="E55"/>
      <c r="F55"/>
      <c r="G55"/>
      <c r="H55"/>
      <c r="I55"/>
      <c r="J55"/>
    </row>
    <row r="56" spans="2:10">
      <c r="B56"/>
      <c r="C56"/>
      <c r="D56"/>
      <c r="E56"/>
      <c r="F56"/>
      <c r="G56"/>
      <c r="H56"/>
      <c r="I56"/>
      <c r="J56"/>
    </row>
    <row r="57" spans="2:10">
      <c r="B57"/>
      <c r="C57"/>
      <c r="D57"/>
      <c r="E57"/>
      <c r="F57"/>
      <c r="G57"/>
      <c r="H57"/>
      <c r="I57"/>
      <c r="J57"/>
    </row>
    <row r="58" spans="2:10">
      <c r="B58"/>
      <c r="C58"/>
      <c r="D58"/>
      <c r="E58"/>
      <c r="F58"/>
      <c r="G58"/>
      <c r="H58"/>
      <c r="I58"/>
      <c r="J58"/>
    </row>
    <row r="59" spans="2:10">
      <c r="B59"/>
      <c r="C59"/>
      <c r="D59"/>
      <c r="E59"/>
      <c r="F59"/>
      <c r="G59"/>
      <c r="H59"/>
      <c r="I59"/>
      <c r="J59"/>
    </row>
    <row r="60" spans="2:10">
      <c r="B60"/>
      <c r="C60"/>
      <c r="D60"/>
      <c r="E60"/>
      <c r="F60"/>
      <c r="G60"/>
      <c r="H60"/>
      <c r="I60"/>
      <c r="J60"/>
    </row>
    <row r="61" spans="2:10">
      <c r="B61"/>
      <c r="C61"/>
      <c r="D61"/>
      <c r="E61"/>
      <c r="F61"/>
      <c r="G61"/>
      <c r="H61"/>
      <c r="I61"/>
      <c r="J61"/>
    </row>
    <row r="62" spans="2:10">
      <c r="B62"/>
      <c r="C62"/>
      <c r="D62"/>
      <c r="E62"/>
      <c r="F62"/>
      <c r="G62"/>
      <c r="H62"/>
      <c r="I62"/>
      <c r="J62"/>
    </row>
    <row r="63" spans="2:10">
      <c r="B63"/>
      <c r="C63"/>
      <c r="D63"/>
      <c r="E63"/>
      <c r="F63"/>
      <c r="G63"/>
      <c r="H63"/>
      <c r="I63"/>
      <c r="J63"/>
    </row>
    <row r="64" spans="2:10">
      <c r="B64"/>
      <c r="C64"/>
      <c r="D64"/>
      <c r="E64"/>
      <c r="F64"/>
      <c r="G64"/>
      <c r="H64"/>
      <c r="I64"/>
      <c r="J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27DA-8227-410D-AD0F-3F1188D83A04}">
  <dimension ref="A1:I19"/>
  <sheetViews>
    <sheetView showGridLines="0" zoomScale="115" zoomScaleNormal="115" workbookViewId="0">
      <selection activeCell="B6" sqref="B6"/>
    </sheetView>
  </sheetViews>
  <sheetFormatPr defaultColWidth="8.75" defaultRowHeight="15"/>
  <cols>
    <col min="1" max="1" width="4.625" style="6" customWidth="1"/>
    <col min="2" max="2" width="12.625" customWidth="1"/>
    <col min="4" max="4" width="11.125" bestFit="1" customWidth="1"/>
    <col min="5" max="8" width="10.625" customWidth="1"/>
    <col min="9" max="10" width="11.125" bestFit="1" customWidth="1"/>
  </cols>
  <sheetData>
    <row r="1" spans="1:9" ht="14.25">
      <c r="A1"/>
    </row>
    <row r="2" spans="1:9" ht="14.25">
      <c r="A2"/>
      <c r="B2" s="8" t="str">
        <f>"Exihibit "&amp;VLOOKUP(B3,TOC!$B$7:$D$13,3,FALSE)</f>
        <v>Exihibit 3</v>
      </c>
      <c r="C2" s="8"/>
      <c r="D2" s="8"/>
      <c r="E2" s="8"/>
      <c r="F2" s="8"/>
      <c r="G2" s="8"/>
      <c r="H2" s="8"/>
      <c r="I2" s="8"/>
    </row>
    <row r="3" spans="1:9" ht="30">
      <c r="A3"/>
      <c r="B3" s="9" t="s">
        <v>5</v>
      </c>
      <c r="C3" s="10"/>
      <c r="D3" s="10"/>
      <c r="E3" s="10"/>
      <c r="F3" s="10"/>
      <c r="G3" s="10"/>
      <c r="H3" s="10"/>
      <c r="I3" s="10"/>
    </row>
    <row r="4" spans="1:9" ht="15.75" thickBot="1">
      <c r="A4"/>
      <c r="B4" s="12"/>
      <c r="C4" s="13"/>
      <c r="D4" s="13"/>
      <c r="E4" s="14"/>
      <c r="F4" s="14"/>
      <c r="G4" s="14"/>
      <c r="H4" s="14"/>
      <c r="I4" s="14"/>
    </row>
    <row r="5" spans="1:9" ht="14.25">
      <c r="A5"/>
    </row>
    <row r="6" spans="1:9">
      <c r="A6"/>
      <c r="B6" s="65" t="s">
        <v>11</v>
      </c>
    </row>
    <row r="7" spans="1:9" ht="14.25">
      <c r="A7"/>
      <c r="B7" t="s">
        <v>12</v>
      </c>
      <c r="D7" s="88">
        <f>'Residual Income'!C7</f>
        <v>0.25939810773890398</v>
      </c>
      <c r="F7" t="s">
        <v>13</v>
      </c>
      <c r="H7" s="88">
        <f>'Residual Income'!I7</f>
        <v>0.17472270127495981</v>
      </c>
    </row>
    <row r="8" spans="1:9" ht="14.25">
      <c r="A8"/>
      <c r="B8" t="s">
        <v>14</v>
      </c>
      <c r="D8" s="88">
        <f>'Residual Income'!C8</f>
        <v>0.1522</v>
      </c>
      <c r="F8" t="s">
        <v>15</v>
      </c>
      <c r="H8" s="88">
        <f>'Residual Income'!I8</f>
        <v>0.13742137053549336</v>
      </c>
    </row>
    <row r="9" spans="1:9" ht="14.25">
      <c r="A9"/>
      <c r="B9" t="s">
        <v>16</v>
      </c>
      <c r="D9" s="101">
        <f>'Residual Income'!C9</f>
        <v>0.3</v>
      </c>
      <c r="F9" t="s">
        <v>17</v>
      </c>
      <c r="H9" s="101">
        <v>0.13400000000000001</v>
      </c>
    </row>
    <row r="10" spans="1:9" thickBot="1">
      <c r="A10"/>
      <c r="B10" s="61" t="s">
        <v>49</v>
      </c>
      <c r="C10" s="61"/>
      <c r="D10" s="102">
        <f>AVERAGE('Residual Income'!D21,'Residual Income'!D23)/'Residual Income'!D37</f>
        <v>387.44088932461915</v>
      </c>
      <c r="E10" s="61"/>
      <c r="F10" s="61"/>
      <c r="G10" s="61"/>
      <c r="H10" s="100"/>
      <c r="I10" s="61"/>
    </row>
    <row r="11" spans="1:9" ht="14.25">
      <c r="A11"/>
    </row>
    <row r="12" spans="1:9" ht="14.25">
      <c r="A12"/>
      <c r="B12" t="s">
        <v>50</v>
      </c>
      <c r="D12" s="1">
        <f>D8*(1+H9)/(H8-H9)</f>
        <v>50.446099950151222</v>
      </c>
    </row>
    <row r="13" spans="1:9" ht="14.25">
      <c r="A13"/>
    </row>
    <row r="14" spans="1:9" ht="14.25">
      <c r="A14"/>
      <c r="B14" t="s">
        <v>51</v>
      </c>
      <c r="D14" s="1">
        <f>(H7-H9)/(H8-H9)</f>
        <v>11.902452789752489</v>
      </c>
    </row>
    <row r="15" spans="1:9" ht="14.25">
      <c r="A15"/>
    </row>
    <row r="16" spans="1:9">
      <c r="B16" t="s">
        <v>52</v>
      </c>
      <c r="D16" s="99">
        <f>(H8-H9)/(1+H9)</f>
        <v>3.0170816009641548E-3</v>
      </c>
    </row>
    <row r="18" spans="2:7">
      <c r="B18" t="s">
        <v>53</v>
      </c>
      <c r="D18" s="1">
        <f>'Residual Income'!D39/D10</f>
        <v>4.8860650983589533</v>
      </c>
      <c r="G18" s="2"/>
    </row>
    <row r="19" spans="2:7">
      <c r="B19" t="s">
        <v>54</v>
      </c>
      <c r="D19" s="1">
        <f>DDM!D31/D10</f>
        <v>19.139006671242456</v>
      </c>
      <c r="G19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A404-F2A4-4D6E-B069-54F9EF49E333}">
  <dimension ref="A1:AB1250"/>
  <sheetViews>
    <sheetView showGridLines="0" zoomScale="85" zoomScaleNormal="85" workbookViewId="0">
      <selection activeCell="I42" sqref="I42"/>
    </sheetView>
  </sheetViews>
  <sheetFormatPr defaultColWidth="8.875" defaultRowHeight="15"/>
  <cols>
    <col min="1" max="1" width="4.625" style="6" customWidth="1"/>
    <col min="2" max="2" width="40.75" style="6" customWidth="1"/>
    <col min="3" max="3" width="6.75" style="6" customWidth="1"/>
    <col min="4" max="4" width="12.75" style="6" customWidth="1"/>
    <col min="5" max="5" width="4.625" style="6" customWidth="1"/>
    <col min="6" max="6" width="12.75" style="6" customWidth="1"/>
    <col min="7" max="8" width="8.625" style="6" customWidth="1"/>
    <col min="9" max="9" width="10.125" style="6" customWidth="1"/>
    <col min="10" max="10" width="10.75" style="6" bestFit="1" customWidth="1"/>
    <col min="11" max="11" width="4.625" style="6" customWidth="1"/>
    <col min="12" max="12" width="20" style="6" bestFit="1" customWidth="1"/>
    <col min="13" max="13" width="13.625" style="6" customWidth="1"/>
    <col min="14" max="14" width="15.125" style="6" bestFit="1" customWidth="1"/>
    <col min="15" max="16" width="13.625" style="6" customWidth="1"/>
    <col min="17" max="17" width="15.875" style="6" bestFit="1" customWidth="1"/>
    <col min="18" max="18" width="14.375" style="6" bestFit="1" customWidth="1"/>
    <col min="19" max="19" width="13.625" style="6" customWidth="1"/>
    <col min="20" max="20" width="8.875" style="6"/>
    <col min="21" max="25" width="10.625" style="6" customWidth="1"/>
    <col min="26" max="26" width="8.875" style="6"/>
    <col min="27" max="27" width="13.375" style="6" bestFit="1" customWidth="1"/>
    <col min="28" max="28" width="9.625" style="6" bestFit="1" customWidth="1"/>
    <col min="29" max="16384" width="8.875" style="6"/>
  </cols>
  <sheetData>
    <row r="1" spans="2:28">
      <c r="E1" s="7"/>
    </row>
    <row r="2" spans="2:28">
      <c r="B2" s="8" t="str">
        <f>"Exihibit "&amp;VLOOKUP(B3,TOC!$B$7:$D$13,3,FALSE)</f>
        <v>Exihibit 5</v>
      </c>
      <c r="C2" s="8"/>
      <c r="D2" s="8"/>
      <c r="E2" s="8"/>
      <c r="F2" s="8"/>
    </row>
    <row r="3" spans="2:28" ht="30">
      <c r="B3" s="9" t="s">
        <v>7</v>
      </c>
      <c r="C3" s="10"/>
      <c r="D3" s="10"/>
      <c r="E3" s="10"/>
      <c r="F3" s="10"/>
      <c r="L3" s="11"/>
    </row>
    <row r="4" spans="2:28" ht="15.75" thickBot="1">
      <c r="B4" s="12" t="s">
        <v>10</v>
      </c>
      <c r="C4" s="13"/>
      <c r="D4" s="13"/>
      <c r="E4" s="14"/>
      <c r="F4" s="14"/>
    </row>
    <row r="7" spans="2:28" ht="15.75">
      <c r="B7" s="15" t="s">
        <v>55</v>
      </c>
      <c r="C7" s="16"/>
      <c r="D7" s="16"/>
      <c r="E7"/>
      <c r="F7"/>
      <c r="G7" s="17" t="s">
        <v>56</v>
      </c>
      <c r="L7" s="15" t="s">
        <v>57</v>
      </c>
      <c r="M7" s="16"/>
      <c r="N7" s="16"/>
      <c r="O7" s="16"/>
      <c r="P7" s="16"/>
      <c r="Q7" s="16"/>
      <c r="R7" s="16"/>
      <c r="S7" s="16"/>
      <c r="U7" s="18" t="s">
        <v>58</v>
      </c>
      <c r="V7" s="18" t="s">
        <v>59</v>
      </c>
      <c r="W7" s="18" t="s">
        <v>60</v>
      </c>
      <c r="X7" s="18" t="s">
        <v>61</v>
      </c>
      <c r="Y7" s="18" t="s">
        <v>60</v>
      </c>
      <c r="AA7" s="80" t="s">
        <v>62</v>
      </c>
    </row>
    <row r="8" spans="2:28" ht="3.95" customHeight="1">
      <c r="E8"/>
      <c r="F8"/>
      <c r="G8"/>
      <c r="H8"/>
      <c r="I8"/>
      <c r="J8"/>
    </row>
    <row r="9" spans="2:28" ht="15.75">
      <c r="B9" s="6" t="s">
        <v>63</v>
      </c>
      <c r="C9" s="19" t="s">
        <v>64</v>
      </c>
      <c r="D9" s="20">
        <v>6.5140000000000003E-2</v>
      </c>
      <c r="E9"/>
      <c r="F9"/>
      <c r="G9" s="21" t="s">
        <v>65</v>
      </c>
      <c r="H9" s="106" t="s">
        <v>66</v>
      </c>
      <c r="I9" s="107"/>
      <c r="J9" s="108"/>
      <c r="L9" s="22" t="s">
        <v>67</v>
      </c>
      <c r="M9" s="22" t="s">
        <v>68</v>
      </c>
      <c r="N9" s="22" t="s">
        <v>69</v>
      </c>
      <c r="O9" s="22" t="s">
        <v>70</v>
      </c>
      <c r="P9" s="22" t="s">
        <v>71</v>
      </c>
      <c r="Q9" s="22" t="s">
        <v>72</v>
      </c>
      <c r="R9" s="22" t="s">
        <v>73</v>
      </c>
      <c r="S9" s="22" t="s">
        <v>74</v>
      </c>
      <c r="U9" t="s">
        <v>75</v>
      </c>
      <c r="V9" s="1">
        <v>26656.83</v>
      </c>
      <c r="W9" s="24"/>
      <c r="X9" s="1">
        <v>251.82</v>
      </c>
      <c r="Y9" s="24"/>
      <c r="AA9" s="21" t="s">
        <v>76</v>
      </c>
      <c r="AB9" s="26">
        <v>1.18</v>
      </c>
    </row>
    <row r="10" spans="2:28" ht="15.75">
      <c r="B10" s="6" t="s">
        <v>77</v>
      </c>
      <c r="D10" s="27">
        <f>VLOOKUP(H9,$G$11:$J$12,4,TRUE)</f>
        <v>1.1200600000000001</v>
      </c>
      <c r="E10"/>
      <c r="F10"/>
      <c r="H10"/>
      <c r="I10"/>
      <c r="J10"/>
      <c r="L10" s="6" t="s">
        <v>78</v>
      </c>
      <c r="M10" s="28">
        <v>9932</v>
      </c>
      <c r="N10" s="27">
        <f>AB10</f>
        <v>1.1200600000000001</v>
      </c>
      <c r="O10" s="29">
        <v>18605</v>
      </c>
      <c r="P10" s="29">
        <v>3518</v>
      </c>
      <c r="Q10" s="26">
        <f>O10/P10</f>
        <v>5.2885162023877204</v>
      </c>
      <c r="R10" s="30">
        <f>AVERAGE('[2]Income Statement'!E76:I76)</f>
        <v>0.24649568015805429</v>
      </c>
      <c r="S10" s="31">
        <f>M10/SUM($M$10:$M$22)</f>
        <v>0.20863354689633443</v>
      </c>
      <c r="U10" t="s">
        <v>79</v>
      </c>
      <c r="V10" s="1">
        <v>26265.24</v>
      </c>
      <c r="W10" s="24">
        <f>V10/V9-1</f>
        <v>-1.4690043789903018E-2</v>
      </c>
      <c r="X10" s="1">
        <v>242.82</v>
      </c>
      <c r="Y10" s="24">
        <f>X10/X9-1</f>
        <v>-3.5739814152966454E-2</v>
      </c>
      <c r="Z10" s="32"/>
      <c r="AA10" s="21" t="s">
        <v>80</v>
      </c>
      <c r="AB10" s="26">
        <f>(AB9*0.667)+(1*0.333)</f>
        <v>1.1200600000000001</v>
      </c>
    </row>
    <row r="11" spans="2:28">
      <c r="B11" s="6" t="s">
        <v>81</v>
      </c>
      <c r="D11" s="92">
        <f>AB13</f>
        <v>0.12190603979741566</v>
      </c>
      <c r="E11"/>
      <c r="F11"/>
      <c r="G11" s="109" t="s">
        <v>66</v>
      </c>
      <c r="H11" s="109"/>
      <c r="I11" s="109"/>
      <c r="J11" s="95">
        <f>N10</f>
        <v>1.1200600000000001</v>
      </c>
      <c r="U11" t="s">
        <v>82</v>
      </c>
      <c r="V11" s="1">
        <v>25610.53</v>
      </c>
      <c r="W11" s="24">
        <f t="shared" ref="W11:W74" si="0">V11/V10-1</f>
        <v>-2.4926861509736886E-2</v>
      </c>
      <c r="X11" s="1">
        <v>237.95</v>
      </c>
      <c r="Y11" s="24">
        <f t="shared" ref="Y11:Y74" si="1">X11/X10-1</f>
        <v>-2.005600856601597E-2</v>
      </c>
      <c r="Z11" s="32"/>
    </row>
    <row r="12" spans="2:28" ht="15.75">
      <c r="B12" s="6" t="s">
        <v>83</v>
      </c>
      <c r="C12" s="19" t="s">
        <v>84</v>
      </c>
      <c r="D12" s="34">
        <f>D11-D9</f>
        <v>5.6766039797415652E-2</v>
      </c>
      <c r="E12"/>
      <c r="F12"/>
      <c r="G12" s="109" t="s">
        <v>85</v>
      </c>
      <c r="H12" s="109"/>
      <c r="I12" s="109"/>
      <c r="J12" s="95">
        <f>M28</f>
        <v>1.7113581811949885</v>
      </c>
      <c r="L12" s="17" t="s">
        <v>86</v>
      </c>
      <c r="U12" t="s">
        <v>87</v>
      </c>
      <c r="V12" s="1">
        <v>25868.49</v>
      </c>
      <c r="W12" s="24">
        <f t="shared" si="0"/>
        <v>1.0072419430601443E-2</v>
      </c>
      <c r="X12" s="1">
        <v>240.86</v>
      </c>
      <c r="Y12" s="24">
        <f t="shared" si="1"/>
        <v>1.2229459970582113E-2</v>
      </c>
      <c r="Z12" s="32"/>
      <c r="AA12" s="17" t="s">
        <v>88</v>
      </c>
    </row>
    <row r="13" spans="2:28">
      <c r="B13" s="6" t="s">
        <v>89</v>
      </c>
      <c r="C13" s="19" t="s">
        <v>90</v>
      </c>
      <c r="D13" s="94">
        <v>8.6999999999999994E-3</v>
      </c>
      <c r="E13"/>
      <c r="F13"/>
      <c r="L13" s="6" t="s">
        <v>91</v>
      </c>
      <c r="M13" s="26">
        <v>15409</v>
      </c>
      <c r="N13" s="26">
        <v>1.07</v>
      </c>
      <c r="O13" s="28">
        <v>33976</v>
      </c>
      <c r="P13" s="26">
        <v>5391</v>
      </c>
      <c r="Q13" s="26">
        <f t="shared" ref="Q13:Q22" si="2">O13/P13</f>
        <v>6.3023557781487662</v>
      </c>
      <c r="R13" s="31">
        <v>0.2361</v>
      </c>
      <c r="S13" s="31">
        <f>M13/SUM($M$10:$M$22)</f>
        <v>0.32368448692364249</v>
      </c>
      <c r="U13" t="s">
        <v>92</v>
      </c>
      <c r="V13" s="1">
        <v>26128.2</v>
      </c>
      <c r="W13" s="24">
        <f t="shared" si="0"/>
        <v>1.0039627361318804E-2</v>
      </c>
      <c r="X13" s="1">
        <v>245.5</v>
      </c>
      <c r="Y13" s="24">
        <f t="shared" si="1"/>
        <v>1.9264302914556053E-2</v>
      </c>
      <c r="Z13" s="32"/>
      <c r="AA13" s="6" t="s">
        <v>59</v>
      </c>
      <c r="AB13" s="33">
        <f>_xlfn.RRI(10,V9,V530)</f>
        <v>0.12190603979741566</v>
      </c>
    </row>
    <row r="14" spans="2:28" ht="15.75">
      <c r="B14" s="35" t="s">
        <v>93</v>
      </c>
      <c r="C14" s="35"/>
      <c r="D14" s="36">
        <f>D9+D10*D12+D13</f>
        <v>0.13742137053549336</v>
      </c>
      <c r="E14"/>
      <c r="F14"/>
      <c r="G14" s="110" t="s">
        <v>94</v>
      </c>
      <c r="H14" s="110"/>
      <c r="I14" s="110"/>
      <c r="J14" s="96">
        <f>'Residual Income'!D39</f>
        <v>1893.0614070061756</v>
      </c>
      <c r="L14" s="6" t="s">
        <v>95</v>
      </c>
      <c r="M14" s="26">
        <v>8374</v>
      </c>
      <c r="N14" s="26">
        <v>1.17</v>
      </c>
      <c r="O14" s="26">
        <v>61205</v>
      </c>
      <c r="P14" s="26">
        <v>4870</v>
      </c>
      <c r="Q14" s="26">
        <f t="shared" si="2"/>
        <v>12.567761806981519</v>
      </c>
      <c r="R14" s="31">
        <v>0.2601</v>
      </c>
      <c r="S14" s="31">
        <f t="shared" ref="S14:S20" si="3">M14/SUM($M$10:$M$22)</f>
        <v>0.17590589223821027</v>
      </c>
      <c r="U14" t="s">
        <v>96</v>
      </c>
      <c r="V14" s="1">
        <v>25638.11</v>
      </c>
      <c r="W14" s="24">
        <f t="shared" si="0"/>
        <v>-1.8757128313469762E-2</v>
      </c>
      <c r="X14" s="1">
        <v>237.68</v>
      </c>
      <c r="Y14" s="24">
        <f t="shared" si="1"/>
        <v>-3.1853360488798388E-2</v>
      </c>
      <c r="Z14" s="32"/>
      <c r="AA14" s="6" t="s">
        <v>78</v>
      </c>
      <c r="AB14" s="33">
        <f>_xlfn.RRI(10,X9,X530)</f>
        <v>0.18524039317001217</v>
      </c>
    </row>
    <row r="15" spans="2:28" ht="15.75">
      <c r="G15" s="97" t="s">
        <v>97</v>
      </c>
      <c r="H15" s="97"/>
      <c r="I15" s="97"/>
      <c r="J15" s="98">
        <f>DDM!D31</f>
        <v>7415.2337654959956</v>
      </c>
      <c r="L15" s="6" t="s">
        <v>98</v>
      </c>
      <c r="M15" s="26">
        <v>3804</v>
      </c>
      <c r="N15" s="26">
        <v>1.0900000000000001</v>
      </c>
      <c r="O15" s="26">
        <v>14424</v>
      </c>
      <c r="P15" s="26">
        <v>1983</v>
      </c>
      <c r="Q15" s="26">
        <f t="shared" si="2"/>
        <v>7.2738275340393344</v>
      </c>
      <c r="R15" s="31">
        <v>0.2586</v>
      </c>
      <c r="S15" s="31">
        <f t="shared" si="3"/>
        <v>7.9907572733956517E-2</v>
      </c>
      <c r="U15" t="s">
        <v>99</v>
      </c>
      <c r="V15" s="1">
        <v>25044.43</v>
      </c>
      <c r="W15" s="24">
        <f t="shared" si="0"/>
        <v>-2.3156153086167475E-2</v>
      </c>
      <c r="X15" s="1">
        <v>226.64</v>
      </c>
      <c r="Y15" s="24">
        <f t="shared" si="1"/>
        <v>-4.6449007068327219E-2</v>
      </c>
      <c r="Z15" s="32"/>
    </row>
    <row r="16" spans="2:28" ht="15.75">
      <c r="B16" s="15" t="s">
        <v>100</v>
      </c>
      <c r="C16" s="16"/>
      <c r="D16" s="16"/>
      <c r="L16" s="6" t="s">
        <v>101</v>
      </c>
      <c r="M16" s="26">
        <v>4402</v>
      </c>
      <c r="N16" s="26">
        <v>1</v>
      </c>
      <c r="O16" s="26">
        <v>5923</v>
      </c>
      <c r="P16" s="26">
        <v>1575</v>
      </c>
      <c r="Q16" s="26">
        <f t="shared" si="2"/>
        <v>3.7606349206349208</v>
      </c>
      <c r="R16" s="31">
        <v>0.26829999999999998</v>
      </c>
      <c r="S16" s="31">
        <f t="shared" si="3"/>
        <v>9.2469278437138952E-2</v>
      </c>
      <c r="U16" t="s">
        <v>102</v>
      </c>
      <c r="V16" s="1">
        <v>25519.22</v>
      </c>
      <c r="W16" s="24">
        <f t="shared" si="0"/>
        <v>1.8957908005891921E-2</v>
      </c>
      <c r="X16" s="1">
        <v>227.36</v>
      </c>
      <c r="Y16" s="24">
        <f t="shared" si="1"/>
        <v>3.1768443346276154E-3</v>
      </c>
      <c r="Z16" s="32"/>
    </row>
    <row r="17" spans="1:26">
      <c r="B17" s="6" t="s">
        <v>103</v>
      </c>
      <c r="C17" s="19" t="str">
        <f>A31</f>
        <v>[4]</v>
      </c>
      <c r="D17" s="20">
        <v>1.2E-2</v>
      </c>
      <c r="L17" s="6" t="s">
        <v>104</v>
      </c>
      <c r="M17" s="26">
        <v>1356</v>
      </c>
      <c r="N17" s="26">
        <v>1.19</v>
      </c>
      <c r="O17" s="26">
        <v>17382</v>
      </c>
      <c r="P17" s="26">
        <v>1422</v>
      </c>
      <c r="Q17" s="26">
        <f t="shared" si="2"/>
        <v>12.223628691983123</v>
      </c>
      <c r="R17" s="31">
        <v>0.25719999999999998</v>
      </c>
      <c r="S17" s="31">
        <f t="shared" si="3"/>
        <v>2.8484402898855163E-2</v>
      </c>
      <c r="U17" t="s">
        <v>105</v>
      </c>
      <c r="V17" s="1">
        <v>25838.71</v>
      </c>
      <c r="W17" s="24">
        <f t="shared" si="0"/>
        <v>1.2519583278799207E-2</v>
      </c>
      <c r="X17" s="1">
        <v>234.5</v>
      </c>
      <c r="Y17" s="24">
        <f t="shared" si="1"/>
        <v>3.1403940886699511E-2</v>
      </c>
      <c r="Z17" s="32"/>
    </row>
    <row r="18" spans="1:26" ht="15.75">
      <c r="B18" s="35" t="s">
        <v>106</v>
      </c>
      <c r="C18" s="37"/>
      <c r="D18" s="38">
        <f>D17+D9</f>
        <v>7.714E-2</v>
      </c>
      <c r="L18" s="6" t="s">
        <v>107</v>
      </c>
      <c r="M18" s="28">
        <v>1153</v>
      </c>
      <c r="N18" s="26">
        <v>1.3</v>
      </c>
      <c r="O18" s="26">
        <v>15461</v>
      </c>
      <c r="P18" s="26">
        <v>1097.5</v>
      </c>
      <c r="Q18" s="26">
        <f t="shared" si="2"/>
        <v>14.0874715261959</v>
      </c>
      <c r="R18" s="31">
        <v>0.24709999999999999</v>
      </c>
      <c r="S18" s="31">
        <f t="shared" si="3"/>
        <v>2.4220144942758114E-2</v>
      </c>
      <c r="U18" t="s">
        <v>108</v>
      </c>
      <c r="V18" s="1">
        <v>26160.9</v>
      </c>
      <c r="W18" s="24">
        <f t="shared" si="0"/>
        <v>1.2469275749447339E-2</v>
      </c>
      <c r="X18" s="1">
        <v>239.09</v>
      </c>
      <c r="Y18" s="24">
        <f t="shared" si="1"/>
        <v>1.9573560767590648E-2</v>
      </c>
      <c r="Z18" s="32"/>
    </row>
    <row r="19" spans="1:26">
      <c r="B19" s="6" t="s">
        <v>109</v>
      </c>
      <c r="C19" s="19" t="str">
        <f>A32</f>
        <v>[5]</v>
      </c>
      <c r="D19" s="93">
        <f>R24</f>
        <v>0.26708142546891406</v>
      </c>
      <c r="L19" s="6" t="s">
        <v>110</v>
      </c>
      <c r="M19" s="26">
        <v>1397</v>
      </c>
      <c r="N19" s="26">
        <v>1.22</v>
      </c>
      <c r="O19" s="26">
        <v>15932</v>
      </c>
      <c r="P19" s="26">
        <v>1550</v>
      </c>
      <c r="Q19" s="26">
        <f t="shared" si="2"/>
        <v>10.278709677419355</v>
      </c>
      <c r="R19" s="31">
        <v>0.36799999999999999</v>
      </c>
      <c r="S19" s="31">
        <f t="shared" si="3"/>
        <v>2.9345656968805797E-2</v>
      </c>
      <c r="U19" t="s">
        <v>111</v>
      </c>
      <c r="V19" s="1">
        <v>24934.33</v>
      </c>
      <c r="W19" s="24">
        <f t="shared" si="0"/>
        <v>-4.688561937853819E-2</v>
      </c>
      <c r="X19" s="1">
        <v>222.77</v>
      </c>
      <c r="Y19" s="24">
        <f t="shared" si="1"/>
        <v>-6.8258814672299106E-2</v>
      </c>
      <c r="Z19" s="32"/>
    </row>
    <row r="20" spans="1:26" ht="15.75">
      <c r="B20" s="35" t="s">
        <v>112</v>
      </c>
      <c r="C20" s="35"/>
      <c r="D20" s="36">
        <f>D18*(1-D19)</f>
        <v>5.6537338839327975E-2</v>
      </c>
      <c r="L20" s="6" t="s">
        <v>113</v>
      </c>
      <c r="M20" s="26">
        <v>593</v>
      </c>
      <c r="N20" s="26">
        <v>1.1100000000000001</v>
      </c>
      <c r="O20" s="26">
        <v>9748</v>
      </c>
      <c r="P20" s="26">
        <v>837</v>
      </c>
      <c r="Q20" s="26">
        <f t="shared" si="2"/>
        <v>11.646356033452808</v>
      </c>
      <c r="R20" s="31">
        <v>0.34199999999999997</v>
      </c>
      <c r="S20" s="31">
        <f t="shared" si="3"/>
        <v>1.2456674719042117E-2</v>
      </c>
      <c r="U20" t="s">
        <v>114</v>
      </c>
      <c r="V20" s="1">
        <v>24455.040000000001</v>
      </c>
      <c r="W20" s="24">
        <f t="shared" si="0"/>
        <v>-1.9222092592822815E-2</v>
      </c>
      <c r="X20" s="1">
        <v>204.05</v>
      </c>
      <c r="Y20" s="24">
        <f t="shared" si="1"/>
        <v>-8.4032859002558635E-2</v>
      </c>
      <c r="Z20" s="32"/>
    </row>
    <row r="21" spans="1:26">
      <c r="L21" s="6" t="s">
        <v>115</v>
      </c>
      <c r="M21" s="26">
        <v>559</v>
      </c>
      <c r="N21" s="26">
        <v>1.06</v>
      </c>
      <c r="O21" s="26">
        <v>3158</v>
      </c>
      <c r="P21" s="26">
        <v>354.53</v>
      </c>
      <c r="Q21" s="26">
        <f t="shared" si="2"/>
        <v>8.9075677657744059</v>
      </c>
      <c r="R21" s="31">
        <v>0.254</v>
      </c>
      <c r="S21" s="31">
        <f>M21/SUM($M$10:$M$22)</f>
        <v>1.1742464026887932E-2</v>
      </c>
      <c r="U21" t="s">
        <v>116</v>
      </c>
      <c r="V21" s="1">
        <v>24435.66</v>
      </c>
      <c r="W21" s="24">
        <f t="shared" si="0"/>
        <v>-7.9247468006604649E-4</v>
      </c>
      <c r="X21" s="1">
        <v>211.59</v>
      </c>
      <c r="Y21" s="24">
        <f t="shared" si="1"/>
        <v>3.695172751776532E-2</v>
      </c>
      <c r="Z21" s="32"/>
    </row>
    <row r="22" spans="1:26">
      <c r="B22" s="6" t="s">
        <v>117</v>
      </c>
      <c r="D22" s="39">
        <f>P24/(O24+P24)</f>
        <v>0.10352631424112753</v>
      </c>
      <c r="L22" s="6" t="s">
        <v>118</v>
      </c>
      <c r="M22" s="26">
        <v>626</v>
      </c>
      <c r="N22" s="26">
        <v>1.1299999999999999</v>
      </c>
      <c r="O22" s="26">
        <v>3175</v>
      </c>
      <c r="P22" s="26">
        <v>381.56</v>
      </c>
      <c r="Q22" s="26">
        <f t="shared" si="2"/>
        <v>8.3211028409686545</v>
      </c>
      <c r="R22" s="31">
        <v>0.2</v>
      </c>
      <c r="S22" s="31">
        <f>M22/SUM($M$10:$M$22)</f>
        <v>1.3149879214368238E-2</v>
      </c>
      <c r="U22" t="s">
        <v>119</v>
      </c>
      <c r="V22" s="1">
        <v>24870.69</v>
      </c>
      <c r="W22" s="24">
        <f t="shared" si="0"/>
        <v>1.7803079597604521E-2</v>
      </c>
      <c r="X22" s="1">
        <v>209.23</v>
      </c>
      <c r="Y22" s="24">
        <f t="shared" si="1"/>
        <v>-1.1153646202561651E-2</v>
      </c>
      <c r="Z22" s="32"/>
    </row>
    <row r="23" spans="1:26">
      <c r="B23" s="6" t="s">
        <v>120</v>
      </c>
      <c r="D23" s="40">
        <f>100%-D22</f>
        <v>0.89647368575887243</v>
      </c>
      <c r="U23" t="s">
        <v>121</v>
      </c>
      <c r="V23" s="1">
        <v>24616.97</v>
      </c>
      <c r="W23" s="24">
        <f t="shared" si="0"/>
        <v>-1.020156658299376E-2</v>
      </c>
      <c r="X23" s="1">
        <v>190.36</v>
      </c>
      <c r="Y23" s="24">
        <f t="shared" si="1"/>
        <v>-9.0187831572910104E-2</v>
      </c>
      <c r="Z23" s="32"/>
    </row>
    <row r="24" spans="1:26">
      <c r="L24" s="37" t="s">
        <v>122</v>
      </c>
      <c r="M24" s="37"/>
      <c r="N24" s="41">
        <f>AVERAGE(N$10:N$22)</f>
        <v>1.1327327272727272</v>
      </c>
      <c r="O24" s="41">
        <f t="shared" ref="O24:R24" si="4">AVERAGE(O$10:O$22)</f>
        <v>18089.909090909092</v>
      </c>
      <c r="P24" s="41">
        <f t="shared" si="4"/>
        <v>2089.0536363636365</v>
      </c>
      <c r="Q24" s="41">
        <f t="shared" si="4"/>
        <v>9.1507211616351345</v>
      </c>
      <c r="R24" s="42">
        <f t="shared" si="4"/>
        <v>0.26708142546891406</v>
      </c>
      <c r="S24" s="37"/>
      <c r="U24" t="s">
        <v>123</v>
      </c>
      <c r="V24" s="1">
        <v>22986.12</v>
      </c>
      <c r="W24" s="24">
        <f t="shared" si="0"/>
        <v>-6.6249014399416439E-2</v>
      </c>
      <c r="X24" s="1">
        <v>175.95</v>
      </c>
      <c r="Y24" s="24">
        <f t="shared" si="1"/>
        <v>-7.5698676192477499E-2</v>
      </c>
      <c r="Z24" s="32"/>
    </row>
    <row r="25" spans="1:26" ht="15.75">
      <c r="B25" s="43" t="s">
        <v>124</v>
      </c>
      <c r="C25" s="43"/>
      <c r="D25" s="44">
        <f>(D14*D22)+(D20*D23)</f>
        <v>6.4910964521794512E-2</v>
      </c>
      <c r="L25" s="6" t="s">
        <v>125</v>
      </c>
      <c r="N25" s="26">
        <f>MEDIAN(N$10:N$22)</f>
        <v>1.1200600000000001</v>
      </c>
      <c r="O25" s="26">
        <f t="shared" ref="O25:Q25" si="5">MEDIAN(O$10:O$22)</f>
        <v>15461</v>
      </c>
      <c r="P25" s="26">
        <f t="shared" si="5"/>
        <v>1550</v>
      </c>
      <c r="Q25" s="26">
        <f t="shared" si="5"/>
        <v>8.9075677657744059</v>
      </c>
      <c r="R25" s="31">
        <f>MEDIAN(R$10:R$22)</f>
        <v>0.25719999999999998</v>
      </c>
      <c r="U25" t="s">
        <v>126</v>
      </c>
      <c r="V25" s="1">
        <v>23709.15</v>
      </c>
      <c r="W25" s="24">
        <f t="shared" si="0"/>
        <v>3.1455069407103187E-2</v>
      </c>
      <c r="X25" s="1">
        <v>180.73</v>
      </c>
      <c r="Y25" s="24">
        <f t="shared" si="1"/>
        <v>2.716680875248656E-2</v>
      </c>
      <c r="Z25" s="32"/>
    </row>
    <row r="26" spans="1:26">
      <c r="U26" t="s">
        <v>127</v>
      </c>
      <c r="V26" s="1">
        <v>23154.3</v>
      </c>
      <c r="W26" s="24">
        <f t="shared" si="0"/>
        <v>-2.3402357317744538E-2</v>
      </c>
      <c r="X26" s="1">
        <v>168</v>
      </c>
      <c r="Y26" s="24">
        <f t="shared" si="1"/>
        <v>-7.0436562828528726E-2</v>
      </c>
      <c r="Z26" s="32"/>
    </row>
    <row r="27" spans="1:26">
      <c r="B27" s="10" t="s">
        <v>128</v>
      </c>
      <c r="C27" s="10"/>
      <c r="D27" s="10"/>
      <c r="L27" s="6" t="s">
        <v>129</v>
      </c>
      <c r="M27" s="26">
        <f>N10/(1+((1-R10)*Q10))</f>
        <v>0.22468967285878344</v>
      </c>
      <c r="U27" t="s">
        <v>130</v>
      </c>
      <c r="V27" s="1">
        <v>24646.48</v>
      </c>
      <c r="W27" s="24">
        <f t="shared" si="0"/>
        <v>6.444504908375559E-2</v>
      </c>
      <c r="X27" s="1">
        <v>200.45</v>
      </c>
      <c r="Y27" s="24">
        <f t="shared" si="1"/>
        <v>0.19315476190476177</v>
      </c>
      <c r="Z27" s="32"/>
    </row>
    <row r="28" spans="1:26">
      <c r="A28" s="19" t="s">
        <v>64</v>
      </c>
      <c r="B28" s="45" t="s">
        <v>131</v>
      </c>
      <c r="L28" s="6" t="s">
        <v>132</v>
      </c>
      <c r="M28" s="27">
        <f>M27*(1+(1-R25)*Q25)</f>
        <v>1.7113581811949885</v>
      </c>
      <c r="U28" t="s">
        <v>133</v>
      </c>
      <c r="V28" s="1">
        <v>24717.99</v>
      </c>
      <c r="W28" s="24">
        <f t="shared" si="0"/>
        <v>2.9014285204216339E-3</v>
      </c>
      <c r="X28" s="1">
        <v>194.41</v>
      </c>
      <c r="Y28" s="24">
        <f t="shared" si="1"/>
        <v>-3.0132202544275288E-2</v>
      </c>
      <c r="Z28" s="32"/>
    </row>
    <row r="29" spans="1:26">
      <c r="A29" s="19" t="s">
        <v>84</v>
      </c>
      <c r="B29" s="45" t="s">
        <v>134</v>
      </c>
      <c r="E29"/>
      <c r="R29" s="33"/>
      <c r="U29" t="s">
        <v>135</v>
      </c>
      <c r="V29" s="1">
        <v>24952.74</v>
      </c>
      <c r="W29" s="24">
        <f t="shared" si="0"/>
        <v>9.4971314415128738E-3</v>
      </c>
      <c r="X29" s="1">
        <v>209.27</v>
      </c>
      <c r="Y29" s="24">
        <f t="shared" si="1"/>
        <v>7.643639730466556E-2</v>
      </c>
      <c r="Z29" s="32"/>
    </row>
    <row r="30" spans="1:26">
      <c r="A30" s="19" t="s">
        <v>90</v>
      </c>
      <c r="B30" s="45" t="s">
        <v>136</v>
      </c>
      <c r="E30"/>
      <c r="U30" t="s">
        <v>137</v>
      </c>
      <c r="V30" s="1">
        <v>25337.56</v>
      </c>
      <c r="W30" s="24">
        <f t="shared" si="0"/>
        <v>1.5421953661201027E-2</v>
      </c>
      <c r="X30" s="1">
        <v>212.91</v>
      </c>
      <c r="Y30" s="24">
        <f t="shared" si="1"/>
        <v>1.7393797486500606E-2</v>
      </c>
      <c r="Z30" s="32"/>
    </row>
    <row r="31" spans="1:26">
      <c r="A31" s="19" t="s">
        <v>138</v>
      </c>
      <c r="B31" s="45" t="s">
        <v>139</v>
      </c>
      <c r="U31" t="s">
        <v>140</v>
      </c>
      <c r="V31" s="1">
        <v>25269.64</v>
      </c>
      <c r="W31" s="24">
        <f t="shared" si="0"/>
        <v>-2.6806053937317165E-3</v>
      </c>
      <c r="X31" s="1">
        <v>216.64</v>
      </c>
      <c r="Y31" s="24">
        <f t="shared" si="1"/>
        <v>1.7519139542529594E-2</v>
      </c>
      <c r="Z31" s="32"/>
    </row>
    <row r="32" spans="1:26">
      <c r="A32" s="19" t="s">
        <v>141</v>
      </c>
      <c r="B32" s="45" t="s">
        <v>142</v>
      </c>
      <c r="U32" t="s">
        <v>143</v>
      </c>
      <c r="V32" s="1">
        <v>24673.84</v>
      </c>
      <c r="W32" s="24">
        <f t="shared" si="0"/>
        <v>-2.3577700355050579E-2</v>
      </c>
      <c r="X32" s="1">
        <v>201.14</v>
      </c>
      <c r="Y32" s="24">
        <f t="shared" si="1"/>
        <v>-7.1547267355982269E-2</v>
      </c>
      <c r="Z32" s="32"/>
    </row>
    <row r="33" spans="1:26">
      <c r="Q33"/>
      <c r="R33"/>
      <c r="S33"/>
      <c r="T33"/>
      <c r="U33" t="s">
        <v>144</v>
      </c>
      <c r="V33" s="1">
        <v>25626.75</v>
      </c>
      <c r="W33" s="24">
        <f t="shared" si="0"/>
        <v>3.8620255298729367E-2</v>
      </c>
      <c r="X33" s="1">
        <v>218.77</v>
      </c>
      <c r="Y33" s="24">
        <f t="shared" si="1"/>
        <v>8.7650392761260854E-2</v>
      </c>
      <c r="Z33" s="32"/>
    </row>
    <row r="34" spans="1:26">
      <c r="Q34"/>
      <c r="R34"/>
      <c r="S34"/>
      <c r="T34"/>
      <c r="U34" t="s">
        <v>145</v>
      </c>
      <c r="V34" s="1">
        <v>25838.14</v>
      </c>
      <c r="W34" s="24">
        <f t="shared" si="0"/>
        <v>8.2488025208033999E-3</v>
      </c>
      <c r="X34" s="1">
        <v>229.09</v>
      </c>
      <c r="Y34" s="24">
        <f t="shared" si="1"/>
        <v>4.717282991269367E-2</v>
      </c>
      <c r="Z34" s="32"/>
    </row>
    <row r="35" spans="1:26">
      <c r="Q35"/>
      <c r="R35"/>
      <c r="S35"/>
      <c r="T35"/>
      <c r="U35" t="s">
        <v>146</v>
      </c>
      <c r="V35" s="1">
        <v>25606.62</v>
      </c>
      <c r="W35" s="24">
        <f t="shared" si="0"/>
        <v>-8.9603973041403329E-3</v>
      </c>
      <c r="X35" s="1">
        <v>215.41</v>
      </c>
      <c r="Y35" s="24">
        <f t="shared" si="1"/>
        <v>-5.9714522676677317E-2</v>
      </c>
      <c r="Z35" s="32"/>
    </row>
    <row r="36" spans="1:26">
      <c r="A36" s="11"/>
      <c r="B36" s="46"/>
      <c r="D36" s="47"/>
      <c r="E36" s="47"/>
      <c r="F36" s="47"/>
      <c r="G36" s="47"/>
      <c r="H36" s="47"/>
      <c r="I36" s="47"/>
      <c r="J36" s="47"/>
      <c r="K36" s="47"/>
      <c r="L36" s="47"/>
      <c r="M36" s="47"/>
      <c r="U36" t="s">
        <v>147</v>
      </c>
      <c r="V36" s="1">
        <v>25228.5</v>
      </c>
      <c r="W36" s="24">
        <f t="shared" si="0"/>
        <v>-1.476649397694807E-2</v>
      </c>
      <c r="X36" s="1">
        <v>198.73</v>
      </c>
      <c r="Y36" s="24">
        <f t="shared" si="1"/>
        <v>-7.7433731024557861E-2</v>
      </c>
      <c r="Z36" s="32"/>
    </row>
    <row r="37" spans="1:26">
      <c r="U37" t="s">
        <v>148</v>
      </c>
      <c r="V37" s="1">
        <v>25489.57</v>
      </c>
      <c r="W37" s="24">
        <f t="shared" si="0"/>
        <v>1.0348217293933537E-2</v>
      </c>
      <c r="X37" s="1">
        <v>205.91</v>
      </c>
      <c r="Y37" s="24">
        <f t="shared" si="1"/>
        <v>3.6129421828611674E-2</v>
      </c>
      <c r="Z37" s="32"/>
    </row>
    <row r="38" spans="1:26">
      <c r="U38" t="s">
        <v>149</v>
      </c>
      <c r="V38" s="1">
        <v>25301.9</v>
      </c>
      <c r="W38" s="24">
        <f t="shared" si="0"/>
        <v>-7.3626192987954475E-3</v>
      </c>
      <c r="X38" s="1">
        <v>200.09</v>
      </c>
      <c r="Y38" s="24">
        <f t="shared" si="1"/>
        <v>-2.8264775872954173E-2</v>
      </c>
      <c r="Z38" s="32"/>
    </row>
    <row r="39" spans="1:26">
      <c r="U39" t="s">
        <v>150</v>
      </c>
      <c r="V39" s="1">
        <v>26653.599999999999</v>
      </c>
      <c r="W39" s="24">
        <f t="shared" si="0"/>
        <v>5.3422865476505654E-2</v>
      </c>
      <c r="X39" s="1">
        <v>221.05</v>
      </c>
      <c r="Y39" s="24">
        <f t="shared" si="1"/>
        <v>0.10475286121245442</v>
      </c>
      <c r="Z39" s="32"/>
    </row>
    <row r="40" spans="1:26">
      <c r="U40" t="s">
        <v>151</v>
      </c>
      <c r="V40" s="1">
        <v>26843.03</v>
      </c>
      <c r="W40" s="24">
        <f t="shared" si="0"/>
        <v>7.1071074826665193E-3</v>
      </c>
      <c r="X40" s="1">
        <v>221.59</v>
      </c>
      <c r="Y40" s="24">
        <f t="shared" si="1"/>
        <v>2.4428862248360161E-3</v>
      </c>
      <c r="Z40" s="32"/>
    </row>
    <row r="41" spans="1:26">
      <c r="U41" t="s">
        <v>152</v>
      </c>
      <c r="V41" s="1">
        <v>26635.75</v>
      </c>
      <c r="W41" s="24">
        <f t="shared" si="0"/>
        <v>-7.7219300503705846E-3</v>
      </c>
      <c r="X41" s="1">
        <v>229.64</v>
      </c>
      <c r="Y41" s="24">
        <f t="shared" si="1"/>
        <v>3.6328354167606713E-2</v>
      </c>
      <c r="Z41" s="32"/>
    </row>
    <row r="42" spans="1:26">
      <c r="U42" t="s">
        <v>153</v>
      </c>
      <c r="V42" s="1">
        <v>26625.91</v>
      </c>
      <c r="W42" s="24">
        <f t="shared" si="0"/>
        <v>-3.6942830594222098E-4</v>
      </c>
      <c r="X42" s="1">
        <v>216.77</v>
      </c>
      <c r="Y42" s="24">
        <f t="shared" si="1"/>
        <v>-5.6044243163211882E-2</v>
      </c>
      <c r="Z42" s="32"/>
    </row>
    <row r="43" spans="1:26">
      <c r="U43" t="s">
        <v>154</v>
      </c>
      <c r="V43" s="1">
        <v>26397.71</v>
      </c>
      <c r="W43" s="24">
        <f t="shared" si="0"/>
        <v>-8.5705990893832906E-3</v>
      </c>
      <c r="X43" s="1">
        <v>209.95</v>
      </c>
      <c r="Y43" s="24">
        <f t="shared" si="1"/>
        <v>-3.1461918162107416E-2</v>
      </c>
      <c r="Z43" s="32"/>
    </row>
    <row r="44" spans="1:26">
      <c r="U44" t="s">
        <v>155</v>
      </c>
      <c r="V44" s="1">
        <v>27144.91</v>
      </c>
      <c r="W44" s="24">
        <f t="shared" si="0"/>
        <v>2.830548558946977E-2</v>
      </c>
      <c r="X44" s="1">
        <v>218.5</v>
      </c>
      <c r="Y44" s="24">
        <f t="shared" si="1"/>
        <v>4.0723981900452566E-2</v>
      </c>
      <c r="Z44" s="32"/>
    </row>
    <row r="45" spans="1:26">
      <c r="U45" t="s">
        <v>156</v>
      </c>
      <c r="V45" s="1">
        <v>27126.9</v>
      </c>
      <c r="W45" s="24">
        <f t="shared" si="0"/>
        <v>-6.634761360416741E-4</v>
      </c>
      <c r="X45" s="1">
        <v>219.95</v>
      </c>
      <c r="Y45" s="24">
        <f t="shared" si="1"/>
        <v>6.6361556064071792E-3</v>
      </c>
      <c r="Z45" s="32"/>
    </row>
    <row r="46" spans="1:26">
      <c r="U46" t="s">
        <v>157</v>
      </c>
      <c r="V46" s="1">
        <v>27836.5</v>
      </c>
      <c r="W46" s="24">
        <f t="shared" si="0"/>
        <v>2.6158536360586737E-2</v>
      </c>
      <c r="X46" s="1">
        <v>241.59</v>
      </c>
      <c r="Y46" s="24">
        <f t="shared" si="1"/>
        <v>9.8385996817458521E-2</v>
      </c>
      <c r="Z46" s="32"/>
    </row>
    <row r="47" spans="1:26">
      <c r="U47" t="s">
        <v>158</v>
      </c>
      <c r="V47" s="1">
        <v>27803.24</v>
      </c>
      <c r="W47" s="24">
        <f t="shared" si="0"/>
        <v>-1.1948341206688973E-3</v>
      </c>
      <c r="X47" s="1">
        <v>239.5</v>
      </c>
      <c r="Y47" s="24">
        <f t="shared" si="1"/>
        <v>-8.6510203236889183E-3</v>
      </c>
      <c r="Z47" s="32"/>
    </row>
    <row r="48" spans="1:26">
      <c r="U48" t="s">
        <v>159</v>
      </c>
      <c r="V48" s="1">
        <v>28051.86</v>
      </c>
      <c r="W48" s="24">
        <f t="shared" si="0"/>
        <v>8.9421232921054195E-3</v>
      </c>
      <c r="X48" s="1">
        <v>239</v>
      </c>
      <c r="Y48" s="24">
        <f t="shared" si="1"/>
        <v>-2.0876826722338038E-3</v>
      </c>
      <c r="Z48" s="32"/>
    </row>
    <row r="49" spans="21:26">
      <c r="U49" t="s">
        <v>160</v>
      </c>
      <c r="V49" s="1">
        <v>28078.35</v>
      </c>
      <c r="W49" s="24">
        <f t="shared" si="0"/>
        <v>9.4432240856745508E-4</v>
      </c>
      <c r="X49" s="1">
        <v>223.59</v>
      </c>
      <c r="Y49" s="24">
        <f t="shared" si="1"/>
        <v>-6.4476987447698697E-2</v>
      </c>
      <c r="Z49" s="32"/>
    </row>
    <row r="50" spans="21:26">
      <c r="U50" t="s">
        <v>161</v>
      </c>
      <c r="V50" s="1">
        <v>28152.400000000001</v>
      </c>
      <c r="W50" s="24">
        <f t="shared" si="0"/>
        <v>2.6372632294990872E-3</v>
      </c>
      <c r="X50" s="1">
        <v>223.59</v>
      </c>
      <c r="Y50" s="24">
        <f t="shared" si="1"/>
        <v>0</v>
      </c>
      <c r="Z50" s="32"/>
    </row>
    <row r="51" spans="21:26">
      <c r="U51" t="s">
        <v>162</v>
      </c>
      <c r="V51" s="1">
        <v>28077</v>
      </c>
      <c r="W51" s="24">
        <f t="shared" si="0"/>
        <v>-2.6782796493372008E-3</v>
      </c>
      <c r="X51" s="1">
        <v>230.82</v>
      </c>
      <c r="Y51" s="24">
        <f t="shared" si="1"/>
        <v>3.2335972091775078E-2</v>
      </c>
      <c r="Z51" s="32"/>
    </row>
    <row r="52" spans="21:26">
      <c r="U52" t="s">
        <v>163</v>
      </c>
      <c r="V52" s="1">
        <v>27782.25</v>
      </c>
      <c r="W52" s="24">
        <f t="shared" si="0"/>
        <v>-1.0497916444064503E-2</v>
      </c>
      <c r="X52" s="1">
        <v>223</v>
      </c>
      <c r="Y52" s="24">
        <f t="shared" si="1"/>
        <v>-3.3879213239753847E-2</v>
      </c>
      <c r="Z52" s="32"/>
    </row>
    <row r="53" spans="21:26">
      <c r="U53" t="s">
        <v>164</v>
      </c>
      <c r="V53" s="1">
        <v>28532.11</v>
      </c>
      <c r="W53" s="24">
        <f t="shared" si="0"/>
        <v>2.699061451106366E-2</v>
      </c>
      <c r="X53" s="1">
        <v>237.55</v>
      </c>
      <c r="Y53" s="24">
        <f t="shared" si="1"/>
        <v>6.5246636771300492E-2</v>
      </c>
      <c r="Z53" s="32"/>
    </row>
    <row r="54" spans="21:26">
      <c r="U54" t="s">
        <v>165</v>
      </c>
      <c r="V54" s="1">
        <v>28797.25</v>
      </c>
      <c r="W54" s="24">
        <f t="shared" si="0"/>
        <v>9.2926881327739519E-3</v>
      </c>
      <c r="X54" s="1">
        <v>249.18</v>
      </c>
      <c r="Y54" s="24">
        <f t="shared" si="1"/>
        <v>4.8958114081246062E-2</v>
      </c>
      <c r="Z54" s="32"/>
    </row>
    <row r="55" spans="21:26">
      <c r="U55" t="s">
        <v>166</v>
      </c>
      <c r="V55" s="1">
        <v>28599.03</v>
      </c>
      <c r="W55" s="24">
        <f t="shared" si="0"/>
        <v>-6.8832961480697064E-3</v>
      </c>
      <c r="X55" s="1">
        <v>243.05</v>
      </c>
      <c r="Y55" s="24">
        <f t="shared" si="1"/>
        <v>-2.4600690264066083E-2</v>
      </c>
      <c r="Z55" s="32"/>
    </row>
    <row r="56" spans="21:26">
      <c r="U56" t="s">
        <v>167</v>
      </c>
      <c r="V56" s="1">
        <v>28668.22</v>
      </c>
      <c r="W56" s="24">
        <f t="shared" si="0"/>
        <v>2.4193128228475747E-3</v>
      </c>
      <c r="X56" s="1">
        <v>246.59</v>
      </c>
      <c r="Y56" s="24">
        <f t="shared" si="1"/>
        <v>1.4564904340670592E-2</v>
      </c>
      <c r="Z56" s="32"/>
    </row>
    <row r="57" spans="21:26">
      <c r="U57" t="s">
        <v>168</v>
      </c>
      <c r="V57" s="1">
        <v>27865.96</v>
      </c>
      <c r="W57" s="24">
        <f t="shared" si="0"/>
        <v>-2.79842975950374E-2</v>
      </c>
      <c r="X57" s="1">
        <v>229.23</v>
      </c>
      <c r="Y57" s="24">
        <f t="shared" si="1"/>
        <v>-7.0400259540127408E-2</v>
      </c>
      <c r="Z57" s="32"/>
    </row>
    <row r="58" spans="21:26">
      <c r="U58" t="s">
        <v>169</v>
      </c>
      <c r="V58" s="1">
        <v>28061.14</v>
      </c>
      <c r="W58" s="24">
        <f t="shared" si="0"/>
        <v>7.0042446052460683E-3</v>
      </c>
      <c r="X58" s="1">
        <v>227.82</v>
      </c>
      <c r="Y58" s="24">
        <f t="shared" si="1"/>
        <v>-6.1510273524407744E-3</v>
      </c>
      <c r="Z58" s="32"/>
    </row>
    <row r="59" spans="21:26">
      <c r="U59" t="s">
        <v>170</v>
      </c>
      <c r="V59" s="1">
        <v>27673.599999999999</v>
      </c>
      <c r="W59" s="24">
        <f t="shared" si="0"/>
        <v>-1.3810557945970858E-2</v>
      </c>
      <c r="X59" s="1">
        <v>219.77</v>
      </c>
      <c r="Y59" s="24">
        <f t="shared" si="1"/>
        <v>-3.5334913528223932E-2</v>
      </c>
      <c r="Z59" s="32"/>
    </row>
    <row r="60" spans="21:26">
      <c r="U60" t="s">
        <v>171</v>
      </c>
      <c r="V60" s="1">
        <v>28077.18</v>
      </c>
      <c r="W60" s="24">
        <f t="shared" si="0"/>
        <v>1.4583574236817887E-2</v>
      </c>
      <c r="X60" s="1">
        <v>252.18</v>
      </c>
      <c r="Y60" s="24">
        <f t="shared" si="1"/>
        <v>0.14747235746462217</v>
      </c>
      <c r="Z60" s="32"/>
    </row>
    <row r="61" spans="21:26">
      <c r="U61" t="s">
        <v>172</v>
      </c>
      <c r="V61" s="1">
        <v>27930.21</v>
      </c>
      <c r="W61" s="24">
        <f t="shared" si="0"/>
        <v>-5.2345000459448343E-3</v>
      </c>
      <c r="X61" s="1">
        <v>251.68</v>
      </c>
      <c r="Y61" s="24">
        <f t="shared" si="1"/>
        <v>-1.9827107621540607E-3</v>
      </c>
      <c r="Z61" s="32"/>
    </row>
    <row r="62" spans="21:26">
      <c r="U62" t="s">
        <v>173</v>
      </c>
      <c r="V62" s="1">
        <v>27274.15</v>
      </c>
      <c r="W62" s="24">
        <f t="shared" si="0"/>
        <v>-2.3489261269428297E-2</v>
      </c>
      <c r="X62" s="1">
        <v>245.27</v>
      </c>
      <c r="Y62" s="24">
        <f t="shared" si="1"/>
        <v>-2.5468849332485721E-2</v>
      </c>
      <c r="Z62" s="32"/>
    </row>
    <row r="63" spans="21:26">
      <c r="U63" t="s">
        <v>174</v>
      </c>
      <c r="V63" s="1">
        <v>26818.82</v>
      </c>
      <c r="W63" s="24">
        <f t="shared" si="0"/>
        <v>-1.6694562433659743E-2</v>
      </c>
      <c r="X63" s="1">
        <v>251.27</v>
      </c>
      <c r="Y63" s="24">
        <f t="shared" si="1"/>
        <v>2.4462836873649474E-2</v>
      </c>
      <c r="Z63" s="32"/>
    </row>
    <row r="64" spans="21:26">
      <c r="U64" t="s">
        <v>175</v>
      </c>
      <c r="V64" s="1">
        <v>26150.240000000002</v>
      </c>
      <c r="W64" s="24">
        <f t="shared" si="0"/>
        <v>-2.4929508457120719E-2</v>
      </c>
      <c r="X64" s="1">
        <v>240.55</v>
      </c>
      <c r="Y64" s="24">
        <f t="shared" si="1"/>
        <v>-4.2663270585426072E-2</v>
      </c>
      <c r="Z64" s="32"/>
    </row>
    <row r="65" spans="21:26">
      <c r="U65" t="s">
        <v>176</v>
      </c>
      <c r="V65" s="1">
        <v>26316.34</v>
      </c>
      <c r="W65" s="24">
        <f t="shared" si="0"/>
        <v>6.351758148299913E-3</v>
      </c>
      <c r="X65" s="1">
        <v>236.45</v>
      </c>
      <c r="Y65" s="24">
        <f t="shared" si="1"/>
        <v>-1.7044273539804755E-2</v>
      </c>
      <c r="Z65" s="32"/>
    </row>
    <row r="66" spans="21:26">
      <c r="U66" t="s">
        <v>177</v>
      </c>
      <c r="V66" s="1">
        <v>26230.66</v>
      </c>
      <c r="W66" s="24">
        <f t="shared" si="0"/>
        <v>-3.2557718892520793E-3</v>
      </c>
      <c r="X66" s="1">
        <v>235.91</v>
      </c>
      <c r="Y66" s="24">
        <f t="shared" si="1"/>
        <v>-2.2837809261999631E-3</v>
      </c>
      <c r="Z66" s="32"/>
    </row>
    <row r="67" spans="21:26">
      <c r="U67" t="s">
        <v>178</v>
      </c>
      <c r="V67" s="1">
        <v>26747.18</v>
      </c>
      <c r="W67" s="24">
        <f t="shared" si="0"/>
        <v>1.9691460298749686E-2</v>
      </c>
      <c r="X67" s="1">
        <v>244.05</v>
      </c>
      <c r="Y67" s="24">
        <f t="shared" si="1"/>
        <v>3.4504683989657225E-2</v>
      </c>
      <c r="Z67" s="32"/>
    </row>
    <row r="68" spans="21:26">
      <c r="U68" t="s">
        <v>179</v>
      </c>
      <c r="V68" s="1">
        <v>26489.56</v>
      </c>
      <c r="W68" s="24">
        <f t="shared" si="0"/>
        <v>-9.6316695816156539E-3</v>
      </c>
      <c r="X68" s="1">
        <v>232.36</v>
      </c>
      <c r="Y68" s="24">
        <f t="shared" si="1"/>
        <v>-4.7900020487605E-2</v>
      </c>
      <c r="Z68" s="32"/>
    </row>
    <row r="69" spans="21:26">
      <c r="U69" t="s">
        <v>180</v>
      </c>
      <c r="V69" s="1">
        <v>26040.7</v>
      </c>
      <c r="W69" s="24">
        <f t="shared" si="0"/>
        <v>-1.6944788814914236E-2</v>
      </c>
      <c r="X69" s="1">
        <v>228.95</v>
      </c>
      <c r="Y69" s="24">
        <f t="shared" si="1"/>
        <v>-1.4675503529006817E-2</v>
      </c>
      <c r="Z69" s="32"/>
    </row>
    <row r="70" spans="21:26">
      <c r="U70" t="s">
        <v>181</v>
      </c>
      <c r="V70" s="1">
        <v>26626.46</v>
      </c>
      <c r="W70" s="24">
        <f t="shared" si="0"/>
        <v>2.2494018977984309E-2</v>
      </c>
      <c r="X70" s="1">
        <v>232.09</v>
      </c>
      <c r="Y70" s="24">
        <f t="shared" si="1"/>
        <v>1.3714784887530085E-2</v>
      </c>
      <c r="Z70" s="32"/>
    </row>
    <row r="71" spans="21:26">
      <c r="U71" t="s">
        <v>182</v>
      </c>
      <c r="V71" s="1">
        <v>26759.23</v>
      </c>
      <c r="W71" s="24">
        <f t="shared" si="0"/>
        <v>4.9863932343992001E-3</v>
      </c>
      <c r="X71" s="1">
        <v>234.68</v>
      </c>
      <c r="Y71" s="24">
        <f t="shared" si="1"/>
        <v>1.1159464001034181E-2</v>
      </c>
      <c r="Z71" s="32"/>
    </row>
    <row r="72" spans="21:26">
      <c r="U72" t="s">
        <v>183</v>
      </c>
      <c r="V72" s="1">
        <v>27238.06</v>
      </c>
      <c r="W72" s="24">
        <f t="shared" si="0"/>
        <v>1.7894012645356394E-2</v>
      </c>
      <c r="X72" s="1">
        <v>243.68</v>
      </c>
      <c r="Y72" s="24">
        <f t="shared" si="1"/>
        <v>3.8350093744673686E-2</v>
      </c>
      <c r="Z72" s="32"/>
    </row>
    <row r="73" spans="21:26">
      <c r="U73" t="s">
        <v>184</v>
      </c>
      <c r="V73" s="1">
        <v>27034.5</v>
      </c>
      <c r="W73" s="24">
        <f t="shared" si="0"/>
        <v>-7.4733663116977045E-3</v>
      </c>
      <c r="X73" s="1">
        <v>239.5</v>
      </c>
      <c r="Y73" s="24">
        <f t="shared" si="1"/>
        <v>-1.7153644123440559E-2</v>
      </c>
      <c r="Z73" s="32"/>
    </row>
    <row r="74" spans="21:26">
      <c r="U74" t="s">
        <v>185</v>
      </c>
      <c r="V74" s="1">
        <v>27882.46</v>
      </c>
      <c r="W74" s="24">
        <f t="shared" si="0"/>
        <v>3.1365847343209463E-2</v>
      </c>
      <c r="X74" s="1">
        <v>247.27</v>
      </c>
      <c r="Y74" s="24">
        <f t="shared" si="1"/>
        <v>3.2442588726513621E-2</v>
      </c>
      <c r="Z74" s="32"/>
    </row>
    <row r="75" spans="21:26">
      <c r="U75" t="s">
        <v>186</v>
      </c>
      <c r="V75" s="1">
        <v>28240.52</v>
      </c>
      <c r="W75" s="24">
        <f t="shared" ref="W75:W138" si="6">V75/V74-1</f>
        <v>1.2841765037948649E-2</v>
      </c>
      <c r="X75" s="1">
        <v>255.95</v>
      </c>
      <c r="Y75" s="24">
        <f t="shared" ref="Y75:Y138" si="7">X75/X74-1</f>
        <v>3.5103328345533091E-2</v>
      </c>
      <c r="Z75" s="32"/>
    </row>
    <row r="76" spans="21:26">
      <c r="U76" t="s">
        <v>187</v>
      </c>
      <c r="V76" s="1">
        <v>28334.25</v>
      </c>
      <c r="W76" s="24">
        <f t="shared" si="6"/>
        <v>3.3189898769570014E-3</v>
      </c>
      <c r="X76" s="1">
        <v>256</v>
      </c>
      <c r="Y76" s="24">
        <f t="shared" si="7"/>
        <v>1.9535065442477517E-4</v>
      </c>
      <c r="Z76" s="32"/>
    </row>
    <row r="77" spans="21:26">
      <c r="U77" t="s">
        <v>188</v>
      </c>
      <c r="V77" s="1">
        <v>28468.75</v>
      </c>
      <c r="W77" s="24">
        <f t="shared" si="6"/>
        <v>4.7469052471831308E-3</v>
      </c>
      <c r="X77" s="1">
        <v>257.27</v>
      </c>
      <c r="Y77" s="24">
        <f t="shared" si="7"/>
        <v>4.9609374999999289E-3</v>
      </c>
      <c r="Z77" s="32"/>
    </row>
    <row r="78" spans="21:26">
      <c r="U78" t="s">
        <v>189</v>
      </c>
      <c r="V78" s="1">
        <v>28892.97</v>
      </c>
      <c r="W78" s="24">
        <f t="shared" si="6"/>
        <v>1.4901251372118507E-2</v>
      </c>
      <c r="X78" s="1">
        <v>258.64</v>
      </c>
      <c r="Y78" s="24">
        <f t="shared" si="7"/>
        <v>5.3251447895208415E-3</v>
      </c>
      <c r="Z78" s="32"/>
    </row>
    <row r="79" spans="21:26">
      <c r="U79" t="s">
        <v>190</v>
      </c>
      <c r="V79" s="1">
        <v>28832.45</v>
      </c>
      <c r="W79" s="24">
        <f t="shared" si="6"/>
        <v>-2.0946271705539754E-3</v>
      </c>
      <c r="X79" s="1">
        <v>250.86</v>
      </c>
      <c r="Y79" s="24">
        <f t="shared" si="7"/>
        <v>-3.0080420661923846E-2</v>
      </c>
      <c r="Z79" s="32"/>
    </row>
    <row r="80" spans="21:26">
      <c r="U80" t="s">
        <v>191</v>
      </c>
      <c r="V80" s="1">
        <v>28946.23</v>
      </c>
      <c r="W80" s="24">
        <f t="shared" si="6"/>
        <v>3.9462480642469266E-3</v>
      </c>
      <c r="X80" s="1">
        <v>245.95</v>
      </c>
      <c r="Y80" s="24">
        <f t="shared" si="7"/>
        <v>-1.9572670015147953E-2</v>
      </c>
      <c r="Z80" s="32"/>
    </row>
    <row r="81" spans="21:26">
      <c r="U81" t="s">
        <v>192</v>
      </c>
      <c r="V81" s="1">
        <v>29648.99</v>
      </c>
      <c r="W81" s="24">
        <f t="shared" si="6"/>
        <v>2.4278118428548545E-2</v>
      </c>
      <c r="X81" s="1">
        <v>255.09</v>
      </c>
      <c r="Y81" s="24">
        <f t="shared" si="7"/>
        <v>3.7162024801788984E-2</v>
      </c>
      <c r="Z81" s="32"/>
    </row>
    <row r="82" spans="21:26">
      <c r="U82" t="s">
        <v>193</v>
      </c>
      <c r="V82" s="1">
        <v>29421.4</v>
      </c>
      <c r="W82" s="24">
        <f t="shared" si="6"/>
        <v>-7.6761468097227281E-3</v>
      </c>
      <c r="X82" s="1">
        <v>249.77</v>
      </c>
      <c r="Y82" s="24">
        <f t="shared" si="7"/>
        <v>-2.0855384374142472E-2</v>
      </c>
      <c r="Z82" s="32"/>
    </row>
    <row r="83" spans="21:26">
      <c r="U83" t="s">
        <v>194</v>
      </c>
      <c r="V83" s="1">
        <v>29620.5</v>
      </c>
      <c r="W83" s="24">
        <f t="shared" si="6"/>
        <v>6.7671830708260217E-3</v>
      </c>
      <c r="X83" s="1">
        <v>251.68</v>
      </c>
      <c r="Y83" s="24">
        <f t="shared" si="7"/>
        <v>7.6470352724506974E-3</v>
      </c>
      <c r="Z83" s="32"/>
    </row>
    <row r="84" spans="21:26">
      <c r="U84" t="s">
        <v>195</v>
      </c>
      <c r="V84" s="1">
        <v>29706.61</v>
      </c>
      <c r="W84" s="24">
        <f t="shared" si="6"/>
        <v>2.9071082527303282E-3</v>
      </c>
      <c r="X84" s="1">
        <v>252.14</v>
      </c>
      <c r="Y84" s="24">
        <f t="shared" si="7"/>
        <v>1.8277177368084541E-3</v>
      </c>
      <c r="Z84" s="32"/>
    </row>
    <row r="85" spans="21:26">
      <c r="U85" t="s">
        <v>196</v>
      </c>
      <c r="V85" s="1">
        <v>29461.45</v>
      </c>
      <c r="W85" s="24">
        <f t="shared" si="6"/>
        <v>-8.2527087405799282E-3</v>
      </c>
      <c r="X85" s="1">
        <v>257.08999999999997</v>
      </c>
      <c r="Y85" s="24">
        <f t="shared" si="7"/>
        <v>1.9631950503688378E-2</v>
      </c>
      <c r="Z85" s="32"/>
    </row>
    <row r="86" spans="21:26">
      <c r="U86" t="s">
        <v>197</v>
      </c>
      <c r="V86" s="1">
        <v>29365.3</v>
      </c>
      <c r="W86" s="24">
        <f t="shared" si="6"/>
        <v>-3.2635868227802733E-3</v>
      </c>
      <c r="X86" s="1">
        <v>244.68</v>
      </c>
      <c r="Y86" s="24">
        <f t="shared" si="7"/>
        <v>-4.827103349021733E-2</v>
      </c>
      <c r="Z86" s="32"/>
    </row>
    <row r="87" spans="21:26">
      <c r="U87" t="s">
        <v>198</v>
      </c>
      <c r="V87" s="1">
        <v>29918.400000000001</v>
      </c>
      <c r="W87" s="24">
        <f t="shared" si="6"/>
        <v>1.8835155779099999E-2</v>
      </c>
      <c r="X87" s="1">
        <v>253.18</v>
      </c>
      <c r="Y87" s="24">
        <f t="shared" si="7"/>
        <v>3.4739251266960869E-2</v>
      </c>
      <c r="Z87" s="32"/>
    </row>
    <row r="88" spans="21:26">
      <c r="U88" t="s">
        <v>199</v>
      </c>
      <c r="V88" s="1">
        <v>29858.799999999999</v>
      </c>
      <c r="W88" s="24">
        <f t="shared" si="6"/>
        <v>-1.9920851382427829E-3</v>
      </c>
      <c r="X88" s="1">
        <v>271.41000000000003</v>
      </c>
      <c r="Y88" s="24">
        <f t="shared" si="7"/>
        <v>7.2004107749427337E-2</v>
      </c>
      <c r="Z88" s="32"/>
    </row>
    <row r="89" spans="21:26">
      <c r="U89" t="s">
        <v>200</v>
      </c>
      <c r="V89" s="1">
        <v>30188.15</v>
      </c>
      <c r="W89" s="24">
        <f t="shared" si="6"/>
        <v>1.1030249038809448E-2</v>
      </c>
      <c r="X89" s="1">
        <v>269.58999999999997</v>
      </c>
      <c r="Y89" s="24">
        <f t="shared" si="7"/>
        <v>-6.7057219704508286E-3</v>
      </c>
      <c r="Z89" s="32"/>
    </row>
    <row r="90" spans="21:26">
      <c r="U90" t="s">
        <v>201</v>
      </c>
      <c r="V90" s="1">
        <v>30464.92</v>
      </c>
      <c r="W90" s="24">
        <f t="shared" si="6"/>
        <v>9.1681669794272391E-3</v>
      </c>
      <c r="X90" s="1">
        <v>279.14</v>
      </c>
      <c r="Y90" s="24">
        <f t="shared" si="7"/>
        <v>3.5424162617307742E-2</v>
      </c>
      <c r="Z90" s="32"/>
    </row>
    <row r="91" spans="21:26">
      <c r="U91" t="s">
        <v>202</v>
      </c>
      <c r="V91" s="1">
        <v>31028.21</v>
      </c>
      <c r="W91" s="24">
        <f t="shared" si="6"/>
        <v>1.8489790880790169E-2</v>
      </c>
      <c r="X91" s="1">
        <v>292.32</v>
      </c>
      <c r="Y91" s="24">
        <f t="shared" si="7"/>
        <v>4.7216450526617493E-2</v>
      </c>
      <c r="Z91" s="32"/>
    </row>
    <row r="92" spans="21:26">
      <c r="U92" t="s">
        <v>203</v>
      </c>
      <c r="V92" s="1">
        <v>31273.29</v>
      </c>
      <c r="W92" s="24">
        <f t="shared" si="6"/>
        <v>7.898618708588101E-3</v>
      </c>
      <c r="X92" s="1">
        <v>289.23</v>
      </c>
      <c r="Y92" s="24">
        <f t="shared" si="7"/>
        <v>-1.057060755336614E-2</v>
      </c>
      <c r="Z92" s="32"/>
    </row>
    <row r="93" spans="21:26">
      <c r="U93" t="s">
        <v>204</v>
      </c>
      <c r="V93" s="1">
        <v>31262.06</v>
      </c>
      <c r="W93" s="24">
        <f t="shared" si="6"/>
        <v>-3.5909237563425123E-4</v>
      </c>
      <c r="X93" s="1">
        <v>292.86</v>
      </c>
      <c r="Y93" s="24">
        <f t="shared" si="7"/>
        <v>1.2550565294056515E-2</v>
      </c>
      <c r="Z93" s="32"/>
    </row>
    <row r="94" spans="21:26">
      <c r="U94" t="s">
        <v>205</v>
      </c>
      <c r="V94" s="1">
        <v>31056.400000000001</v>
      </c>
      <c r="W94" s="24">
        <f t="shared" si="6"/>
        <v>-6.5785811939456096E-3</v>
      </c>
      <c r="X94" s="1">
        <v>287.73</v>
      </c>
      <c r="Y94" s="24">
        <f t="shared" si="7"/>
        <v>-1.7516902274124169E-2</v>
      </c>
      <c r="Z94" s="32"/>
    </row>
    <row r="95" spans="21:26">
      <c r="U95" t="s">
        <v>206</v>
      </c>
      <c r="V95" s="1">
        <v>31138.21</v>
      </c>
      <c r="W95" s="24">
        <f t="shared" si="6"/>
        <v>2.6342396414265057E-3</v>
      </c>
      <c r="X95" s="1">
        <v>291.85000000000002</v>
      </c>
      <c r="Y95" s="24">
        <f t="shared" si="7"/>
        <v>1.4318979598929582E-2</v>
      </c>
      <c r="Z95" s="32"/>
    </row>
    <row r="96" spans="21:26">
      <c r="U96" t="s">
        <v>207</v>
      </c>
      <c r="V96" s="1">
        <v>30921.61</v>
      </c>
      <c r="W96" s="24">
        <f t="shared" si="6"/>
        <v>-6.956083859669504E-3</v>
      </c>
      <c r="X96" s="1">
        <v>290.14999999999998</v>
      </c>
      <c r="Y96" s="24">
        <f t="shared" si="7"/>
        <v>-5.8249100565360701E-3</v>
      </c>
      <c r="Z96" s="32"/>
    </row>
    <row r="97" spans="21:26">
      <c r="U97" t="s">
        <v>208</v>
      </c>
      <c r="V97" s="1">
        <v>31360.63</v>
      </c>
      <c r="W97" s="24">
        <f t="shared" si="6"/>
        <v>1.4197837693444848E-2</v>
      </c>
      <c r="X97" s="1">
        <v>289.7</v>
      </c>
      <c r="Y97" s="24">
        <f t="shared" si="7"/>
        <v>-1.5509219369291838E-3</v>
      </c>
      <c r="Z97" s="32"/>
    </row>
    <row r="98" spans="21:26">
      <c r="U98" t="s">
        <v>209</v>
      </c>
      <c r="V98" s="1">
        <v>32020.75</v>
      </c>
      <c r="W98" s="24">
        <f t="shared" si="6"/>
        <v>2.1049322032114848E-2</v>
      </c>
      <c r="X98" s="1">
        <v>298.25</v>
      </c>
      <c r="Y98" s="24">
        <f t="shared" si="7"/>
        <v>2.9513289609941262E-2</v>
      </c>
      <c r="Z98" s="32"/>
    </row>
    <row r="99" spans="21:26">
      <c r="U99" t="s">
        <v>210</v>
      </c>
      <c r="V99" s="1">
        <v>32028.89</v>
      </c>
      <c r="W99" s="24">
        <f t="shared" si="6"/>
        <v>2.542101605989E-4</v>
      </c>
      <c r="X99" s="1">
        <v>302.05</v>
      </c>
      <c r="Y99" s="24">
        <f t="shared" si="7"/>
        <v>1.2740989103101397E-2</v>
      </c>
      <c r="Z99" s="32"/>
    </row>
    <row r="100" spans="21:26">
      <c r="U100" t="s">
        <v>211</v>
      </c>
      <c r="V100" s="1">
        <v>32309.88</v>
      </c>
      <c r="W100" s="24">
        <f t="shared" si="6"/>
        <v>8.7730171104900556E-3</v>
      </c>
      <c r="X100" s="1">
        <v>296.14999999999998</v>
      </c>
      <c r="Y100" s="24">
        <f t="shared" si="7"/>
        <v>-1.953318986922703E-2</v>
      </c>
      <c r="Z100" s="32"/>
    </row>
    <row r="101" spans="21:26">
      <c r="U101" t="s">
        <v>212</v>
      </c>
      <c r="V101" s="1">
        <v>32325.41</v>
      </c>
      <c r="W101" s="24">
        <f t="shared" si="6"/>
        <v>4.8065792878215774E-4</v>
      </c>
      <c r="X101" s="1">
        <v>296.25</v>
      </c>
      <c r="Y101" s="24">
        <f t="shared" si="7"/>
        <v>3.3766672294444078E-4</v>
      </c>
      <c r="Z101" s="32"/>
    </row>
    <row r="102" spans="21:26">
      <c r="U102" t="s">
        <v>213</v>
      </c>
      <c r="V102" s="1">
        <v>31213.59</v>
      </c>
      <c r="W102" s="24">
        <f t="shared" si="6"/>
        <v>-3.439461402036359E-2</v>
      </c>
      <c r="X102" s="1">
        <v>286.95</v>
      </c>
      <c r="Y102" s="24">
        <f t="shared" si="7"/>
        <v>-3.1392405063291218E-2</v>
      </c>
      <c r="Z102" s="32"/>
    </row>
    <row r="103" spans="21:26">
      <c r="U103" t="s">
        <v>214</v>
      </c>
      <c r="V103" s="1">
        <v>31524.68</v>
      </c>
      <c r="W103" s="24">
        <f t="shared" si="6"/>
        <v>9.9664921593447531E-3</v>
      </c>
      <c r="X103" s="1">
        <v>293.14999999999998</v>
      </c>
      <c r="Y103" s="24">
        <f t="shared" si="7"/>
        <v>2.1606551664052898E-2</v>
      </c>
      <c r="Z103" s="32"/>
    </row>
    <row r="104" spans="21:26">
      <c r="U104" t="s">
        <v>215</v>
      </c>
      <c r="V104" s="1">
        <v>31596.06</v>
      </c>
      <c r="W104" s="24">
        <f t="shared" si="6"/>
        <v>2.2642577180800316E-3</v>
      </c>
      <c r="X104" s="1">
        <v>297.7</v>
      </c>
      <c r="Y104" s="24">
        <f t="shared" si="7"/>
        <v>1.5521064301552201E-2</v>
      </c>
      <c r="Z104" s="32"/>
    </row>
    <row r="105" spans="21:26">
      <c r="U105" t="s">
        <v>216</v>
      </c>
      <c r="V105" s="1">
        <v>31892.23</v>
      </c>
      <c r="W105" s="24">
        <f t="shared" si="6"/>
        <v>9.3736370927259838E-3</v>
      </c>
      <c r="X105" s="1">
        <v>298.3</v>
      </c>
      <c r="Y105" s="24">
        <f t="shared" si="7"/>
        <v>2.0154517971111563E-3</v>
      </c>
      <c r="Z105" s="32"/>
    </row>
    <row r="106" spans="21:26">
      <c r="U106" t="s">
        <v>217</v>
      </c>
      <c r="V106" s="1">
        <v>31687.52</v>
      </c>
      <c r="W106" s="24">
        <f t="shared" si="6"/>
        <v>-6.4188048311453194E-3</v>
      </c>
      <c r="X106" s="1">
        <v>292</v>
      </c>
      <c r="Y106" s="24">
        <f t="shared" si="7"/>
        <v>-2.1119678176332535E-2</v>
      </c>
      <c r="Z106" s="32"/>
    </row>
    <row r="107" spans="21:26">
      <c r="U107" t="s">
        <v>218</v>
      </c>
      <c r="V107" s="1">
        <v>32272.61</v>
      </c>
      <c r="W107" s="24">
        <f t="shared" si="6"/>
        <v>1.8464367044186414E-2</v>
      </c>
      <c r="X107" s="1">
        <v>291.60000000000002</v>
      </c>
      <c r="Y107" s="24">
        <f t="shared" si="7"/>
        <v>-1.369863013698569E-3</v>
      </c>
      <c r="Z107" s="32"/>
    </row>
    <row r="108" spans="21:26">
      <c r="U108" t="s">
        <v>219</v>
      </c>
      <c r="V108" s="1">
        <v>31922.44</v>
      </c>
      <c r="W108" s="24">
        <f t="shared" si="6"/>
        <v>-1.0850377456301241E-2</v>
      </c>
      <c r="X108" s="1">
        <v>277.10000000000002</v>
      </c>
      <c r="Y108" s="24">
        <f t="shared" si="7"/>
        <v>-4.9725651577503416E-2</v>
      </c>
      <c r="Z108" s="32"/>
    </row>
    <row r="109" spans="21:26">
      <c r="U109" t="s">
        <v>220</v>
      </c>
      <c r="V109" s="1">
        <v>31283.72</v>
      </c>
      <c r="W109" s="24">
        <f t="shared" si="6"/>
        <v>-2.0008495591189113E-2</v>
      </c>
      <c r="X109" s="1">
        <v>276.60000000000002</v>
      </c>
      <c r="Y109" s="24">
        <f t="shared" si="7"/>
        <v>-1.8044027426922238E-3</v>
      </c>
      <c r="Z109" s="32"/>
    </row>
    <row r="110" spans="21:26">
      <c r="U110" t="s">
        <v>221</v>
      </c>
      <c r="V110" s="1">
        <v>31814.22</v>
      </c>
      <c r="W110" s="24">
        <f t="shared" si="6"/>
        <v>1.6957701961275662E-2</v>
      </c>
      <c r="X110" s="1">
        <v>271.95</v>
      </c>
      <c r="Y110" s="24">
        <f t="shared" si="7"/>
        <v>-1.6811279826464354E-2</v>
      </c>
      <c r="Z110" s="32"/>
    </row>
    <row r="111" spans="21:26">
      <c r="U111" t="s">
        <v>222</v>
      </c>
      <c r="V111" s="1">
        <v>32432.69</v>
      </c>
      <c r="W111" s="24">
        <f t="shared" si="6"/>
        <v>1.9440049135260873E-2</v>
      </c>
      <c r="X111" s="1">
        <v>271.3</v>
      </c>
      <c r="Y111" s="24">
        <f t="shared" si="7"/>
        <v>-2.3901452472879781E-3</v>
      </c>
      <c r="Z111" s="32"/>
    </row>
    <row r="112" spans="21:26">
      <c r="U112" t="s">
        <v>223</v>
      </c>
      <c r="V112" s="1">
        <v>32389.96</v>
      </c>
      <c r="W112" s="24">
        <f t="shared" si="6"/>
        <v>-1.3174978702044093E-3</v>
      </c>
      <c r="X112" s="1">
        <v>263.14999999999998</v>
      </c>
      <c r="Y112" s="24">
        <f t="shared" si="7"/>
        <v>-3.0040545521562989E-2</v>
      </c>
      <c r="Z112" s="32"/>
    </row>
    <row r="113" spans="21:26">
      <c r="U113" t="s">
        <v>224</v>
      </c>
      <c r="V113" s="1">
        <v>33157.22</v>
      </c>
      <c r="W113" s="24">
        <f t="shared" si="6"/>
        <v>2.3688204616492348E-2</v>
      </c>
      <c r="X113" s="1">
        <v>301.14999999999998</v>
      </c>
      <c r="Y113" s="24">
        <f t="shared" si="7"/>
        <v>0.14440433212996395</v>
      </c>
      <c r="Z113" s="32"/>
    </row>
    <row r="114" spans="21:26">
      <c r="U114" t="s">
        <v>225</v>
      </c>
      <c r="V114" s="1">
        <v>33685.56</v>
      </c>
      <c r="W114" s="24">
        <f t="shared" si="6"/>
        <v>1.5934387744207745E-2</v>
      </c>
      <c r="X114" s="1">
        <v>315.89999999999998</v>
      </c>
      <c r="Y114" s="24">
        <f t="shared" si="7"/>
        <v>4.897891416237754E-2</v>
      </c>
      <c r="Z114" s="32"/>
    </row>
    <row r="115" spans="21:26">
      <c r="U115" t="s">
        <v>226</v>
      </c>
      <c r="V115" s="1">
        <v>33314.559999999998</v>
      </c>
      <c r="W115" s="24">
        <f t="shared" si="6"/>
        <v>-1.1013621266797946E-2</v>
      </c>
      <c r="X115" s="1">
        <v>318.5</v>
      </c>
      <c r="Y115" s="24">
        <f t="shared" si="7"/>
        <v>8.2304526748970819E-3</v>
      </c>
      <c r="Z115" s="32"/>
    </row>
    <row r="116" spans="21:26">
      <c r="U116" t="s">
        <v>227</v>
      </c>
      <c r="V116" s="1">
        <v>33342.800000000003</v>
      </c>
      <c r="W116" s="24">
        <f t="shared" si="6"/>
        <v>8.4767741191860146E-4</v>
      </c>
      <c r="X116" s="1">
        <v>325.10000000000002</v>
      </c>
      <c r="Y116" s="24">
        <f t="shared" si="7"/>
        <v>2.0722135007849474E-2</v>
      </c>
      <c r="Z116" s="32"/>
    </row>
    <row r="117" spans="21:26">
      <c r="U117" t="s">
        <v>228</v>
      </c>
      <c r="V117" s="1">
        <v>33679.24</v>
      </c>
      <c r="W117" s="24">
        <f t="shared" si="6"/>
        <v>1.0090334345045804E-2</v>
      </c>
      <c r="X117" s="1">
        <v>317.2</v>
      </c>
      <c r="Y117" s="24">
        <f t="shared" si="7"/>
        <v>-2.4300215318363683E-2</v>
      </c>
      <c r="Z117" s="32"/>
    </row>
    <row r="118" spans="21:26">
      <c r="U118" t="s">
        <v>229</v>
      </c>
      <c r="V118" s="1">
        <v>32832.94</v>
      </c>
      <c r="W118" s="24">
        <f t="shared" si="6"/>
        <v>-2.5128239235802097E-2</v>
      </c>
      <c r="X118" s="1">
        <v>305.25</v>
      </c>
      <c r="Y118" s="24">
        <f t="shared" si="7"/>
        <v>-3.7673392181588827E-2</v>
      </c>
      <c r="Z118" s="32"/>
    </row>
    <row r="119" spans="21:26">
      <c r="U119" t="s">
        <v>230</v>
      </c>
      <c r="V119" s="1">
        <v>33250.300000000003</v>
      </c>
      <c r="W119" s="24">
        <f t="shared" si="6"/>
        <v>1.2711624362606644E-2</v>
      </c>
      <c r="X119" s="1">
        <v>310.75</v>
      </c>
      <c r="Y119" s="24">
        <f t="shared" si="7"/>
        <v>1.8018018018018056E-2</v>
      </c>
      <c r="Z119" s="32"/>
    </row>
    <row r="120" spans="21:26">
      <c r="U120" t="s">
        <v>231</v>
      </c>
      <c r="V120" s="1">
        <v>33462.97</v>
      </c>
      <c r="W120" s="24">
        <f t="shared" si="6"/>
        <v>6.3960325169998278E-3</v>
      </c>
      <c r="X120" s="1">
        <v>303.14999999999998</v>
      </c>
      <c r="Y120" s="24">
        <f t="shared" si="7"/>
        <v>-2.4456958970233367E-2</v>
      </c>
      <c r="Z120" s="32"/>
    </row>
    <row r="121" spans="21:26">
      <c r="U121" t="s">
        <v>232</v>
      </c>
      <c r="V121" s="1">
        <v>33940.300000000003</v>
      </c>
      <c r="W121" s="24">
        <f t="shared" si="6"/>
        <v>1.4264424227735883E-2</v>
      </c>
      <c r="X121" s="1">
        <v>316.60000000000002</v>
      </c>
      <c r="Y121" s="24">
        <f t="shared" si="7"/>
        <v>4.4367474847435417E-2</v>
      </c>
      <c r="Z121" s="32"/>
    </row>
    <row r="122" spans="21:26">
      <c r="U122" t="s">
        <v>233</v>
      </c>
      <c r="V122" s="1">
        <v>34056.83</v>
      </c>
      <c r="W122" s="24">
        <f t="shared" si="6"/>
        <v>3.4333815552602953E-3</v>
      </c>
      <c r="X122" s="1">
        <v>314</v>
      </c>
      <c r="Y122" s="24">
        <f t="shared" si="7"/>
        <v>-8.2122552116236092E-3</v>
      </c>
      <c r="Z122" s="32"/>
    </row>
    <row r="123" spans="21:26">
      <c r="U123" t="s">
        <v>234</v>
      </c>
      <c r="V123" s="1">
        <v>34153.85</v>
      </c>
      <c r="W123" s="24">
        <f t="shared" si="6"/>
        <v>2.848767780207373E-3</v>
      </c>
      <c r="X123" s="1">
        <v>312.89999999999998</v>
      </c>
      <c r="Y123" s="24">
        <f t="shared" si="7"/>
        <v>-3.5031847133758509E-3</v>
      </c>
      <c r="Z123" s="32"/>
    </row>
    <row r="124" spans="21:26">
      <c r="U124" t="s">
        <v>235</v>
      </c>
      <c r="V124" s="1">
        <v>34592.39</v>
      </c>
      <c r="W124" s="24">
        <f t="shared" si="6"/>
        <v>1.2840133689174138E-2</v>
      </c>
      <c r="X124" s="1">
        <v>317.7</v>
      </c>
      <c r="Y124" s="24">
        <f t="shared" si="7"/>
        <v>1.5340364333652934E-2</v>
      </c>
      <c r="Z124" s="32"/>
    </row>
    <row r="125" spans="21:26">
      <c r="U125" t="s">
        <v>236</v>
      </c>
      <c r="V125" s="1">
        <v>35511.58</v>
      </c>
      <c r="W125" s="24">
        <f t="shared" si="6"/>
        <v>2.6572029281584753E-2</v>
      </c>
      <c r="X125" s="1">
        <v>353.6</v>
      </c>
      <c r="Y125" s="24">
        <f t="shared" si="7"/>
        <v>0.11299968523764559</v>
      </c>
      <c r="Z125" s="32"/>
    </row>
    <row r="126" spans="21:26">
      <c r="U126" t="s">
        <v>237</v>
      </c>
      <c r="V126" s="1">
        <v>36050.44</v>
      </c>
      <c r="W126" s="24">
        <f t="shared" si="6"/>
        <v>1.5174205146602837E-2</v>
      </c>
      <c r="X126" s="1">
        <v>360.8</v>
      </c>
      <c r="Y126" s="24">
        <f t="shared" si="7"/>
        <v>2.0361990950226172E-2</v>
      </c>
      <c r="Z126" s="32"/>
    </row>
    <row r="127" spans="21:26">
      <c r="U127" t="s">
        <v>238</v>
      </c>
      <c r="V127" s="1">
        <v>35066.75</v>
      </c>
      <c r="W127" s="24">
        <f t="shared" si="6"/>
        <v>-2.7286490816755715E-2</v>
      </c>
      <c r="X127" s="1">
        <v>335.1</v>
      </c>
      <c r="Y127" s="24">
        <f t="shared" si="7"/>
        <v>-7.1230598669623002E-2</v>
      </c>
      <c r="Z127" s="32"/>
    </row>
    <row r="128" spans="21:26">
      <c r="U128" t="s">
        <v>239</v>
      </c>
      <c r="V128" s="1">
        <v>34005.760000000002</v>
      </c>
      <c r="W128" s="24">
        <f t="shared" si="6"/>
        <v>-3.0256296919446424E-2</v>
      </c>
      <c r="X128" s="1">
        <v>326.75</v>
      </c>
      <c r="Y128" s="24">
        <f t="shared" si="7"/>
        <v>-2.4917934944792663E-2</v>
      </c>
      <c r="Z128" s="32"/>
    </row>
    <row r="129" spans="21:26">
      <c r="U129" t="s">
        <v>240</v>
      </c>
      <c r="V129" s="1">
        <v>34010.76</v>
      </c>
      <c r="W129" s="24">
        <f t="shared" si="6"/>
        <v>1.4703391425463508E-4</v>
      </c>
      <c r="X129" s="1">
        <v>321.05</v>
      </c>
      <c r="Y129" s="24">
        <f t="shared" si="7"/>
        <v>-1.7444529456771218E-2</v>
      </c>
      <c r="Z129" s="32"/>
    </row>
    <row r="130" spans="21:26">
      <c r="U130" t="s">
        <v>241</v>
      </c>
      <c r="V130" s="1">
        <v>34142.15</v>
      </c>
      <c r="W130" s="24">
        <f t="shared" si="6"/>
        <v>3.8631891789540074E-3</v>
      </c>
      <c r="X130" s="1">
        <v>322.75</v>
      </c>
      <c r="Y130" s="24">
        <f t="shared" si="7"/>
        <v>5.2951253698800826E-3</v>
      </c>
      <c r="Z130" s="32"/>
    </row>
    <row r="131" spans="21:26">
      <c r="U131" t="s">
        <v>242</v>
      </c>
      <c r="V131" s="1">
        <v>34046.94</v>
      </c>
      <c r="W131" s="24">
        <f t="shared" si="6"/>
        <v>-2.7886351621090322E-3</v>
      </c>
      <c r="X131" s="1">
        <v>304.95</v>
      </c>
      <c r="Y131" s="24">
        <f t="shared" si="7"/>
        <v>-5.515104570100704E-2</v>
      </c>
      <c r="Z131" s="32"/>
    </row>
    <row r="132" spans="21:26">
      <c r="U132" t="s">
        <v>243</v>
      </c>
      <c r="V132" s="1">
        <v>33307.14</v>
      </c>
      <c r="W132" s="24">
        <f t="shared" si="6"/>
        <v>-2.1728824969292515E-2</v>
      </c>
      <c r="X132" s="1">
        <v>292.7</v>
      </c>
      <c r="Y132" s="24">
        <f t="shared" si="7"/>
        <v>-4.017051975733732E-2</v>
      </c>
      <c r="Z132" s="32"/>
    </row>
    <row r="133" spans="21:26">
      <c r="U133" t="s">
        <v>244</v>
      </c>
      <c r="V133" s="1">
        <v>33176</v>
      </c>
      <c r="W133" s="24">
        <f t="shared" si="6"/>
        <v>-3.9372939255667427E-3</v>
      </c>
      <c r="X133" s="1">
        <v>298.10000000000002</v>
      </c>
      <c r="Y133" s="24">
        <f t="shared" si="7"/>
        <v>1.8448923812777629E-2</v>
      </c>
      <c r="Z133" s="32"/>
    </row>
    <row r="134" spans="21:26">
      <c r="U134" t="s">
        <v>245</v>
      </c>
      <c r="V134" s="1">
        <v>32596.54</v>
      </c>
      <c r="W134" s="24">
        <f t="shared" si="6"/>
        <v>-1.7466240655895748E-2</v>
      </c>
      <c r="X134" s="1">
        <v>275.55</v>
      </c>
      <c r="Y134" s="24">
        <f t="shared" si="7"/>
        <v>-7.5645756457564661E-2</v>
      </c>
      <c r="Z134" s="32"/>
    </row>
    <row r="135" spans="21:26">
      <c r="U135" t="s">
        <v>246</v>
      </c>
      <c r="V135" s="1">
        <v>32968.68</v>
      </c>
      <c r="W135" s="24">
        <f t="shared" si="6"/>
        <v>1.1416549118403285E-2</v>
      </c>
      <c r="X135" s="1">
        <v>278.35000000000002</v>
      </c>
      <c r="Y135" s="24">
        <f t="shared" si="7"/>
        <v>1.0161495191435277E-2</v>
      </c>
      <c r="Z135" s="32"/>
    </row>
    <row r="136" spans="21:26">
      <c r="U136" t="s">
        <v>247</v>
      </c>
      <c r="V136" s="1">
        <v>33626.97</v>
      </c>
      <c r="W136" s="24">
        <f t="shared" si="6"/>
        <v>1.9967132442063162E-2</v>
      </c>
      <c r="X136" s="1">
        <v>280.64999999999998</v>
      </c>
      <c r="Y136" s="24">
        <f t="shared" si="7"/>
        <v>8.26297826477429E-3</v>
      </c>
      <c r="Z136" s="32"/>
    </row>
    <row r="137" spans="21:26">
      <c r="U137" t="s">
        <v>248</v>
      </c>
      <c r="V137" s="1">
        <v>34192.65</v>
      </c>
      <c r="W137" s="24">
        <f t="shared" si="6"/>
        <v>1.682221145705376E-2</v>
      </c>
      <c r="X137" s="1">
        <v>288.25</v>
      </c>
      <c r="Y137" s="24">
        <f t="shared" si="7"/>
        <v>2.7079992873686232E-2</v>
      </c>
      <c r="Z137" s="32"/>
    </row>
    <row r="138" spans="21:26">
      <c r="U138" t="s">
        <v>249</v>
      </c>
      <c r="V138" s="1">
        <v>34415.58</v>
      </c>
      <c r="W138" s="24">
        <f t="shared" si="6"/>
        <v>6.5198222424995844E-3</v>
      </c>
      <c r="X138" s="1">
        <v>282.14999999999998</v>
      </c>
      <c r="Y138" s="24">
        <f t="shared" si="7"/>
        <v>-2.1162185602775496E-2</v>
      </c>
      <c r="Z138" s="32"/>
    </row>
    <row r="139" spans="21:26">
      <c r="U139" t="s">
        <v>250</v>
      </c>
      <c r="V139" s="1">
        <v>34969.699999999997</v>
      </c>
      <c r="W139" s="24">
        <f t="shared" ref="W139:W202" si="8">V139/V138-1</f>
        <v>1.6100847348787806E-2</v>
      </c>
      <c r="X139" s="1">
        <v>287.89999999999998</v>
      </c>
      <c r="Y139" s="24">
        <f t="shared" ref="Y139:Y202" si="9">X139/X138-1</f>
        <v>2.0379230905546608E-2</v>
      </c>
      <c r="Z139" s="32"/>
    </row>
    <row r="140" spans="21:26">
      <c r="U140" t="s">
        <v>251</v>
      </c>
      <c r="V140" s="1">
        <v>34915.379999999997</v>
      </c>
      <c r="W140" s="24">
        <f t="shared" si="8"/>
        <v>-1.5533447527430466E-3</v>
      </c>
      <c r="X140" s="1">
        <v>282.85000000000002</v>
      </c>
      <c r="Y140" s="24">
        <f t="shared" si="9"/>
        <v>-1.7540812782215864E-2</v>
      </c>
      <c r="Z140" s="32"/>
    </row>
    <row r="141" spans="21:26">
      <c r="U141" t="s">
        <v>252</v>
      </c>
      <c r="V141" s="1">
        <v>35535.79</v>
      </c>
      <c r="W141" s="24">
        <f t="shared" si="8"/>
        <v>1.7768960269084921E-2</v>
      </c>
      <c r="X141" s="1">
        <v>310.95</v>
      </c>
      <c r="Y141" s="24">
        <f t="shared" si="9"/>
        <v>9.9345943079370613E-2</v>
      </c>
      <c r="Z141" s="32"/>
    </row>
    <row r="142" spans="21:26">
      <c r="U142" t="s">
        <v>253</v>
      </c>
      <c r="V142" s="1">
        <v>34848.300000000003</v>
      </c>
      <c r="W142" s="24">
        <f t="shared" si="8"/>
        <v>-1.9346411040812583E-2</v>
      </c>
      <c r="X142" s="1">
        <v>286.10000000000002</v>
      </c>
      <c r="Y142" s="24">
        <f t="shared" si="9"/>
        <v>-7.9916385270943802E-2</v>
      </c>
      <c r="Z142" s="32"/>
    </row>
    <row r="143" spans="21:26">
      <c r="U143" t="s">
        <v>254</v>
      </c>
      <c r="V143" s="1">
        <v>34924.870000000003</v>
      </c>
      <c r="W143" s="24">
        <f t="shared" si="8"/>
        <v>2.1972377418697508E-3</v>
      </c>
      <c r="X143" s="1">
        <v>295.64999999999998</v>
      </c>
      <c r="Y143" s="24">
        <f t="shared" si="9"/>
        <v>3.3379937084935252E-2</v>
      </c>
      <c r="Z143" s="32"/>
    </row>
    <row r="144" spans="21:26">
      <c r="U144" t="s">
        <v>255</v>
      </c>
      <c r="V144" s="1">
        <v>35227.26</v>
      </c>
      <c r="W144" s="24">
        <f t="shared" si="8"/>
        <v>8.6582999449962283E-3</v>
      </c>
      <c r="X144" s="1">
        <v>289.3</v>
      </c>
      <c r="Y144" s="24">
        <f t="shared" si="9"/>
        <v>-2.1478099103669712E-2</v>
      </c>
      <c r="Z144" s="32"/>
    </row>
    <row r="145" spans="21:26">
      <c r="U145" t="s">
        <v>256</v>
      </c>
      <c r="V145" s="1">
        <v>35443.67</v>
      </c>
      <c r="W145" s="24">
        <f t="shared" si="8"/>
        <v>6.1432538324013297E-3</v>
      </c>
      <c r="X145" s="1">
        <v>288.25</v>
      </c>
      <c r="Y145" s="24">
        <f t="shared" si="9"/>
        <v>-3.6294503975112802E-3</v>
      </c>
      <c r="Z145" s="32"/>
    </row>
    <row r="146" spans="21:26">
      <c r="U146" t="s">
        <v>257</v>
      </c>
      <c r="V146" s="1">
        <v>35622.14</v>
      </c>
      <c r="W146" s="24">
        <f t="shared" si="8"/>
        <v>5.0353137809939774E-3</v>
      </c>
      <c r="X146" s="1">
        <v>282.5</v>
      </c>
      <c r="Y146" s="24">
        <f t="shared" si="9"/>
        <v>-1.9947961838681749E-2</v>
      </c>
      <c r="Z146" s="32"/>
    </row>
    <row r="147" spans="21:26">
      <c r="U147" t="s">
        <v>258</v>
      </c>
      <c r="V147" s="1">
        <v>35689.599999999999</v>
      </c>
      <c r="W147" s="24">
        <f t="shared" si="8"/>
        <v>1.8937660679565482E-3</v>
      </c>
      <c r="X147" s="1">
        <v>300.64999999999998</v>
      </c>
      <c r="Y147" s="24">
        <f t="shared" si="9"/>
        <v>6.4247787610619334E-2</v>
      </c>
      <c r="Z147" s="32"/>
    </row>
    <row r="148" spans="21:26">
      <c r="U148" t="s">
        <v>259</v>
      </c>
      <c r="V148" s="1">
        <v>35423.480000000003</v>
      </c>
      <c r="W148" s="24">
        <f t="shared" si="8"/>
        <v>-7.4565139424368487E-3</v>
      </c>
      <c r="X148" s="1">
        <v>275.39999999999998</v>
      </c>
      <c r="Y148" s="24">
        <f t="shared" si="9"/>
        <v>-8.3984699817063024E-2</v>
      </c>
      <c r="Z148" s="32"/>
    </row>
    <row r="149" spans="21:26">
      <c r="U149" t="s">
        <v>260</v>
      </c>
      <c r="V149" s="1">
        <v>35657.86</v>
      </c>
      <c r="W149" s="24">
        <f t="shared" si="8"/>
        <v>6.6165153734190074E-3</v>
      </c>
      <c r="X149" s="1">
        <v>270.05</v>
      </c>
      <c r="Y149" s="24">
        <f t="shared" si="9"/>
        <v>-1.9426289034132016E-2</v>
      </c>
      <c r="Z149" s="32"/>
    </row>
    <row r="150" spans="21:26">
      <c r="U150" t="s">
        <v>261</v>
      </c>
      <c r="V150" s="1">
        <v>36541.629999999997</v>
      </c>
      <c r="W150" s="24">
        <f t="shared" si="8"/>
        <v>2.4784717871459305E-2</v>
      </c>
      <c r="X150" s="1">
        <v>267.75</v>
      </c>
      <c r="Y150" s="24">
        <f t="shared" si="9"/>
        <v>-8.5169413071654043E-3</v>
      </c>
      <c r="Z150" s="32"/>
    </row>
    <row r="151" spans="21:26">
      <c r="U151" t="s">
        <v>262</v>
      </c>
      <c r="V151" s="1">
        <v>36496.370000000003</v>
      </c>
      <c r="W151" s="24">
        <f t="shared" si="8"/>
        <v>-1.2385873317636298E-3</v>
      </c>
      <c r="X151" s="1">
        <v>265.8</v>
      </c>
      <c r="Y151" s="24">
        <f t="shared" si="9"/>
        <v>-7.2829131652660806E-3</v>
      </c>
      <c r="Z151" s="32"/>
    </row>
    <row r="152" spans="21:26">
      <c r="U152" t="s">
        <v>263</v>
      </c>
      <c r="V152" s="1">
        <v>37336.85</v>
      </c>
      <c r="W152" s="24">
        <f t="shared" si="8"/>
        <v>2.3029139610322824E-2</v>
      </c>
      <c r="X152" s="1">
        <v>293.2</v>
      </c>
      <c r="Y152" s="24">
        <f t="shared" si="9"/>
        <v>0.10308502633559069</v>
      </c>
      <c r="Z152" s="32"/>
    </row>
    <row r="153" spans="21:26">
      <c r="U153" t="s">
        <v>264</v>
      </c>
      <c r="V153" s="1">
        <v>37556.160000000003</v>
      </c>
      <c r="W153" s="24">
        <f t="shared" si="8"/>
        <v>5.87382170697337E-3</v>
      </c>
      <c r="X153" s="1">
        <v>305</v>
      </c>
      <c r="Y153" s="24">
        <f t="shared" si="9"/>
        <v>4.0245566166439373E-2</v>
      </c>
      <c r="Z153" s="32"/>
    </row>
    <row r="154" spans="21:26">
      <c r="U154" t="s">
        <v>265</v>
      </c>
      <c r="V154" s="1">
        <v>37869.230000000003</v>
      </c>
      <c r="W154" s="24">
        <f t="shared" si="8"/>
        <v>8.3360492659525498E-3</v>
      </c>
      <c r="X154" s="1">
        <v>328.6</v>
      </c>
      <c r="Y154" s="24">
        <f t="shared" si="9"/>
        <v>7.7377049180327839E-2</v>
      </c>
      <c r="Z154" s="32"/>
    </row>
    <row r="155" spans="21:26">
      <c r="U155" t="s">
        <v>266</v>
      </c>
      <c r="V155" s="1">
        <v>37947.879999999997</v>
      </c>
      <c r="W155" s="24">
        <f t="shared" si="8"/>
        <v>2.076884055999928E-3</v>
      </c>
      <c r="X155" s="1">
        <v>340</v>
      </c>
      <c r="Y155" s="24">
        <f t="shared" si="9"/>
        <v>3.4692635423006601E-2</v>
      </c>
      <c r="Z155" s="32"/>
    </row>
    <row r="156" spans="21:26">
      <c r="U156" t="s">
        <v>267</v>
      </c>
      <c r="V156" s="1">
        <v>38251.800000000003</v>
      </c>
      <c r="W156" s="24">
        <f t="shared" si="8"/>
        <v>8.0088795474215768E-3</v>
      </c>
      <c r="X156" s="1">
        <v>330.15</v>
      </c>
      <c r="Y156" s="24">
        <f t="shared" si="9"/>
        <v>-2.8970588235294192E-2</v>
      </c>
      <c r="Z156" s="32"/>
    </row>
    <row r="157" spans="21:26">
      <c r="U157" t="s">
        <v>268</v>
      </c>
      <c r="V157" s="1">
        <v>38645.07</v>
      </c>
      <c r="W157" s="24">
        <f t="shared" si="8"/>
        <v>1.0281084811694985E-2</v>
      </c>
      <c r="X157" s="1">
        <v>342.6</v>
      </c>
      <c r="Y157" s="24">
        <f t="shared" si="9"/>
        <v>3.7710131758291743E-2</v>
      </c>
      <c r="Z157" s="32"/>
    </row>
    <row r="158" spans="21:26">
      <c r="U158" t="s">
        <v>269</v>
      </c>
      <c r="V158" s="1">
        <v>38389.82</v>
      </c>
      <c r="W158" s="24">
        <f t="shared" si="8"/>
        <v>-6.6049822137727032E-3</v>
      </c>
      <c r="X158" s="1">
        <v>335.1</v>
      </c>
      <c r="Y158" s="24">
        <f t="shared" si="9"/>
        <v>-2.189141856392296E-2</v>
      </c>
      <c r="Z158" s="32"/>
    </row>
    <row r="159" spans="21:26">
      <c r="U159" t="s">
        <v>270</v>
      </c>
      <c r="V159" s="1">
        <v>38090.639999999999</v>
      </c>
      <c r="W159" s="24">
        <f t="shared" si="8"/>
        <v>-7.7932118462654687E-3</v>
      </c>
      <c r="X159" s="1">
        <v>328.35</v>
      </c>
      <c r="Y159" s="24">
        <f t="shared" si="9"/>
        <v>-2.0143240823634723E-2</v>
      </c>
      <c r="Z159" s="32"/>
    </row>
    <row r="160" spans="21:26">
      <c r="U160" t="s">
        <v>271</v>
      </c>
      <c r="V160" s="1">
        <v>36841.599999999999</v>
      </c>
      <c r="W160" s="24">
        <f t="shared" si="8"/>
        <v>-3.2791257904829174E-2</v>
      </c>
      <c r="X160" s="1">
        <v>317.10000000000002</v>
      </c>
      <c r="Y160" s="24">
        <f t="shared" si="9"/>
        <v>-3.426222019186842E-2</v>
      </c>
      <c r="Z160" s="32"/>
    </row>
    <row r="161" spans="21:26">
      <c r="U161" t="s">
        <v>272</v>
      </c>
      <c r="V161" s="1">
        <v>36227.14</v>
      </c>
      <c r="W161" s="24">
        <f t="shared" si="8"/>
        <v>-1.6678428732736839E-2</v>
      </c>
      <c r="X161" s="1">
        <v>305.55</v>
      </c>
      <c r="Y161" s="24">
        <f t="shared" si="9"/>
        <v>-3.6423841059602724E-2</v>
      </c>
      <c r="Z161" s="32"/>
    </row>
    <row r="162" spans="21:26">
      <c r="U162" t="s">
        <v>273</v>
      </c>
      <c r="V162" s="1">
        <v>34376.99</v>
      </c>
      <c r="W162" s="24">
        <f t="shared" si="8"/>
        <v>-5.1070827009805364E-2</v>
      </c>
      <c r="X162" s="1">
        <v>307.3</v>
      </c>
      <c r="Y162" s="24">
        <f t="shared" si="9"/>
        <v>5.7273768613974596E-3</v>
      </c>
      <c r="Z162" s="32"/>
    </row>
    <row r="163" spans="21:26">
      <c r="U163" t="s">
        <v>274</v>
      </c>
      <c r="V163" s="1">
        <v>34733.58</v>
      </c>
      <c r="W163" s="24">
        <f t="shared" si="8"/>
        <v>1.0372926774566471E-2</v>
      </c>
      <c r="X163" s="1">
        <v>319.39999999999998</v>
      </c>
      <c r="Y163" s="24">
        <f t="shared" si="9"/>
        <v>3.9375203384314883E-2</v>
      </c>
      <c r="Z163" s="32"/>
    </row>
    <row r="164" spans="21:26">
      <c r="U164" t="s">
        <v>275</v>
      </c>
      <c r="V164" s="1">
        <v>34315.629999999997</v>
      </c>
      <c r="W164" s="24">
        <f t="shared" si="8"/>
        <v>-1.2033023949734045E-2</v>
      </c>
      <c r="X164" s="1">
        <v>315.45</v>
      </c>
      <c r="Y164" s="24">
        <f t="shared" si="9"/>
        <v>-1.2366938008766426E-2</v>
      </c>
      <c r="Z164" s="32"/>
    </row>
    <row r="165" spans="21:26">
      <c r="U165" t="s">
        <v>276</v>
      </c>
      <c r="V165" s="1">
        <v>33349.31</v>
      </c>
      <c r="W165" s="24">
        <f t="shared" si="8"/>
        <v>-2.8159762766995722E-2</v>
      </c>
      <c r="X165" s="1">
        <v>315.64999999999998</v>
      </c>
      <c r="Y165" s="24">
        <f t="shared" si="9"/>
        <v>6.3401489934999944E-4</v>
      </c>
      <c r="Z165" s="32"/>
    </row>
    <row r="166" spans="21:26">
      <c r="U166" t="s">
        <v>277</v>
      </c>
      <c r="V166" s="1">
        <v>35011.65</v>
      </c>
      <c r="W166" s="24">
        <f t="shared" si="8"/>
        <v>4.9846308664257322E-2</v>
      </c>
      <c r="X166" s="1">
        <v>354.45</v>
      </c>
      <c r="Y166" s="24">
        <f t="shared" si="9"/>
        <v>0.12292095675590065</v>
      </c>
      <c r="Z166" s="32"/>
    </row>
    <row r="167" spans="21:26">
      <c r="U167" t="s">
        <v>278</v>
      </c>
      <c r="V167" s="1">
        <v>35158.550000000003</v>
      </c>
      <c r="W167" s="24">
        <f t="shared" si="8"/>
        <v>4.1957462730262129E-3</v>
      </c>
      <c r="X167" s="1">
        <v>356.85</v>
      </c>
      <c r="Y167" s="24">
        <f t="shared" si="9"/>
        <v>6.7710537452392305E-3</v>
      </c>
      <c r="Z167" s="32"/>
    </row>
    <row r="168" spans="21:26">
      <c r="U168" t="s">
        <v>279</v>
      </c>
      <c r="V168" s="1">
        <v>35457.160000000003</v>
      </c>
      <c r="W168" s="24">
        <f t="shared" si="8"/>
        <v>8.4932399089268085E-3</v>
      </c>
      <c r="X168" s="1">
        <v>367.55</v>
      </c>
      <c r="Y168" s="24">
        <f t="shared" si="9"/>
        <v>2.998458736163645E-2</v>
      </c>
      <c r="Z168" s="32"/>
    </row>
    <row r="169" spans="21:26">
      <c r="U169" t="s">
        <v>280</v>
      </c>
      <c r="V169" s="1">
        <v>34981.019999999997</v>
      </c>
      <c r="W169" s="24">
        <f t="shared" si="8"/>
        <v>-1.3428599470459712E-2</v>
      </c>
      <c r="X169" s="1">
        <v>352.05</v>
      </c>
      <c r="Y169" s="24">
        <f t="shared" si="9"/>
        <v>-4.2171133179159326E-2</v>
      </c>
      <c r="Z169" s="32"/>
    </row>
    <row r="170" spans="21:26">
      <c r="U170" t="s">
        <v>281</v>
      </c>
      <c r="V170" s="1">
        <v>36194.300000000003</v>
      </c>
      <c r="W170" s="24">
        <f t="shared" si="8"/>
        <v>3.4683951468539309E-2</v>
      </c>
      <c r="X170" s="1">
        <v>355.15</v>
      </c>
      <c r="Y170" s="24">
        <f t="shared" si="9"/>
        <v>8.8055673909954724E-3</v>
      </c>
      <c r="Z170" s="32"/>
    </row>
    <row r="171" spans="21:26">
      <c r="U171" t="s">
        <v>282</v>
      </c>
      <c r="V171" s="1">
        <v>35673.25</v>
      </c>
      <c r="W171" s="24">
        <f t="shared" si="8"/>
        <v>-1.4395913168648189E-2</v>
      </c>
      <c r="X171" s="1">
        <v>352.2</v>
      </c>
      <c r="Y171" s="24">
        <f t="shared" si="9"/>
        <v>-8.3063494298183382E-3</v>
      </c>
      <c r="Z171" s="32"/>
    </row>
    <row r="172" spans="21:26">
      <c r="U172" t="s">
        <v>283</v>
      </c>
      <c r="V172" s="1">
        <v>35962.93</v>
      </c>
      <c r="W172" s="24">
        <f t="shared" si="8"/>
        <v>8.1203703054810727E-3</v>
      </c>
      <c r="X172" s="1">
        <v>351.9</v>
      </c>
      <c r="Y172" s="24">
        <f t="shared" si="9"/>
        <v>-8.5178875638847185E-4</v>
      </c>
      <c r="Z172" s="32"/>
    </row>
    <row r="173" spans="21:26">
      <c r="U173" t="s">
        <v>284</v>
      </c>
      <c r="V173" s="1">
        <v>35742.07</v>
      </c>
      <c r="W173" s="24">
        <f t="shared" si="8"/>
        <v>-6.1413238576500939E-3</v>
      </c>
      <c r="X173" s="1">
        <v>354.2</v>
      </c>
      <c r="Y173" s="24">
        <f t="shared" si="9"/>
        <v>6.5359477124182774E-3</v>
      </c>
      <c r="Z173" s="32"/>
    </row>
    <row r="174" spans="21:26">
      <c r="U174" t="s">
        <v>285</v>
      </c>
      <c r="V174" s="1">
        <v>36076.720000000001</v>
      </c>
      <c r="W174" s="24">
        <f t="shared" si="8"/>
        <v>9.3629160258485999E-3</v>
      </c>
      <c r="X174" s="1">
        <v>360.75</v>
      </c>
      <c r="Y174" s="24">
        <f t="shared" si="9"/>
        <v>1.849237718802943E-2</v>
      </c>
      <c r="Z174" s="32"/>
    </row>
    <row r="175" spans="21:26">
      <c r="U175" t="s">
        <v>286</v>
      </c>
      <c r="V175" s="1">
        <v>35695.1</v>
      </c>
      <c r="W175" s="24">
        <f t="shared" si="8"/>
        <v>-1.057801263529512E-2</v>
      </c>
      <c r="X175" s="1">
        <v>365.2</v>
      </c>
      <c r="Y175" s="24">
        <f t="shared" si="9"/>
        <v>1.2335412335412244E-2</v>
      </c>
      <c r="Z175" s="32"/>
    </row>
    <row r="176" spans="21:26">
      <c r="U176" t="s">
        <v>287</v>
      </c>
      <c r="V176" s="1">
        <v>36009.839999999997</v>
      </c>
      <c r="W176" s="24">
        <f t="shared" si="8"/>
        <v>8.8174567377594659E-3</v>
      </c>
      <c r="X176" s="1">
        <v>378.55</v>
      </c>
      <c r="Y176" s="24">
        <f t="shared" si="9"/>
        <v>3.6555312157721787E-2</v>
      </c>
      <c r="Z176" s="32"/>
    </row>
    <row r="177" spans="21:26">
      <c r="U177" t="s">
        <v>288</v>
      </c>
      <c r="V177" s="1">
        <v>36386.61</v>
      </c>
      <c r="W177" s="24">
        <f t="shared" si="8"/>
        <v>1.0462973453922775E-2</v>
      </c>
      <c r="X177" s="1">
        <v>372</v>
      </c>
      <c r="Y177" s="24">
        <f t="shared" si="9"/>
        <v>-1.7302866199973566E-2</v>
      </c>
      <c r="Z177" s="32"/>
    </row>
    <row r="178" spans="21:26">
      <c r="U178" t="s">
        <v>289</v>
      </c>
      <c r="V178" s="1">
        <v>36025.54</v>
      </c>
      <c r="W178" s="24">
        <f t="shared" si="8"/>
        <v>-9.9231557982455421E-3</v>
      </c>
      <c r="X178" s="1">
        <v>357.2</v>
      </c>
      <c r="Y178" s="24">
        <f t="shared" si="9"/>
        <v>-3.9784946236559149E-2</v>
      </c>
      <c r="Z178" s="32"/>
    </row>
    <row r="179" spans="21:26">
      <c r="U179" t="s">
        <v>290</v>
      </c>
      <c r="V179" s="1">
        <v>36469.43</v>
      </c>
      <c r="W179" s="24">
        <f t="shared" si="8"/>
        <v>1.2321536332279726E-2</v>
      </c>
      <c r="X179" s="1">
        <v>354.65</v>
      </c>
      <c r="Y179" s="24">
        <f t="shared" si="9"/>
        <v>-7.1388577827548039E-3</v>
      </c>
      <c r="Z179" s="32"/>
    </row>
    <row r="180" spans="21:26">
      <c r="U180" t="s">
        <v>291</v>
      </c>
      <c r="V180" s="1">
        <v>36546.480000000003</v>
      </c>
      <c r="W180" s="24">
        <f t="shared" si="8"/>
        <v>2.1127283864870172E-3</v>
      </c>
      <c r="X180" s="1">
        <v>355.1</v>
      </c>
      <c r="Y180" s="24">
        <f t="shared" si="9"/>
        <v>1.2688566192020634E-3</v>
      </c>
      <c r="Z180" s="32"/>
    </row>
    <row r="181" spans="21:26">
      <c r="U181" t="s">
        <v>292</v>
      </c>
      <c r="V181" s="1">
        <v>35808.949999999997</v>
      </c>
      <c r="W181" s="24">
        <f t="shared" si="8"/>
        <v>-2.018060289253587E-2</v>
      </c>
      <c r="X181" s="1">
        <v>342.15</v>
      </c>
      <c r="Y181" s="24">
        <f t="shared" si="9"/>
        <v>-3.6468600394255257E-2</v>
      </c>
      <c r="Z181" s="32"/>
    </row>
    <row r="182" spans="21:26">
      <c r="U182" t="s">
        <v>293</v>
      </c>
      <c r="V182" s="1">
        <v>35871.480000000003</v>
      </c>
      <c r="W182" s="24">
        <f t="shared" si="8"/>
        <v>1.7462114918198601E-3</v>
      </c>
      <c r="X182" s="1">
        <v>352.05</v>
      </c>
      <c r="Y182" s="24">
        <f t="shared" si="9"/>
        <v>2.8934677772906703E-2</v>
      </c>
      <c r="Z182" s="32"/>
    </row>
    <row r="183" spans="21:26">
      <c r="U183" t="s">
        <v>294</v>
      </c>
      <c r="V183" s="1">
        <v>36063.81</v>
      </c>
      <c r="W183" s="24">
        <f t="shared" si="8"/>
        <v>5.3616410585790586E-3</v>
      </c>
      <c r="X183" s="1">
        <v>354.25</v>
      </c>
      <c r="Y183" s="24">
        <f t="shared" si="9"/>
        <v>6.2491123419967654E-3</v>
      </c>
      <c r="Z183" s="32"/>
    </row>
    <row r="184" spans="21:26">
      <c r="U184" t="s">
        <v>295</v>
      </c>
      <c r="V184" s="1">
        <v>36671.43</v>
      </c>
      <c r="W184" s="24">
        <f t="shared" si="8"/>
        <v>1.6848469421284262E-2</v>
      </c>
      <c r="X184" s="1">
        <v>370.6</v>
      </c>
      <c r="Y184" s="24">
        <f t="shared" si="9"/>
        <v>4.6153846153846212E-2</v>
      </c>
      <c r="Z184" s="32"/>
    </row>
    <row r="185" spans="21:26">
      <c r="U185" t="s">
        <v>296</v>
      </c>
      <c r="V185" s="1">
        <v>38024.32</v>
      </c>
      <c r="W185" s="24">
        <f t="shared" si="8"/>
        <v>3.689220736687937E-2</v>
      </c>
      <c r="X185" s="1">
        <v>395.3</v>
      </c>
      <c r="Y185" s="24">
        <f t="shared" si="9"/>
        <v>6.66486778197517E-2</v>
      </c>
      <c r="Z185" s="32"/>
    </row>
    <row r="186" spans="21:26">
      <c r="U186" t="s">
        <v>297</v>
      </c>
      <c r="V186" s="1">
        <v>38164.61</v>
      </c>
      <c r="W186" s="24">
        <f t="shared" si="8"/>
        <v>3.6894808375271815E-3</v>
      </c>
      <c r="X186" s="1">
        <v>391.8</v>
      </c>
      <c r="Y186" s="24">
        <f t="shared" si="9"/>
        <v>-8.8540349101947635E-3</v>
      </c>
      <c r="Z186" s="32"/>
    </row>
    <row r="187" spans="21:26">
      <c r="U187" t="s">
        <v>298</v>
      </c>
      <c r="V187" s="1">
        <v>38672.910000000003</v>
      </c>
      <c r="W187" s="24">
        <f t="shared" si="8"/>
        <v>1.3318621623540805E-2</v>
      </c>
      <c r="X187" s="1">
        <v>400.5</v>
      </c>
      <c r="Y187" s="24">
        <f t="shared" si="9"/>
        <v>2.2205206738131755E-2</v>
      </c>
      <c r="Z187" s="32"/>
    </row>
    <row r="188" spans="21:26">
      <c r="U188" t="s">
        <v>299</v>
      </c>
      <c r="V188" s="1">
        <v>38862.230000000003</v>
      </c>
      <c r="W188" s="24">
        <f t="shared" si="8"/>
        <v>4.8954164556016533E-3</v>
      </c>
      <c r="X188" s="1">
        <v>390.55</v>
      </c>
      <c r="Y188" s="24">
        <f t="shared" si="9"/>
        <v>-2.4843945068664164E-2</v>
      </c>
      <c r="Z188" s="32"/>
    </row>
    <row r="189" spans="21:26">
      <c r="U189" t="s">
        <v>300</v>
      </c>
      <c r="V189" s="1">
        <v>38767.11</v>
      </c>
      <c r="W189" s="24">
        <f t="shared" si="8"/>
        <v>-2.4476207361235902E-3</v>
      </c>
      <c r="X189" s="1">
        <v>394.6</v>
      </c>
      <c r="Y189" s="24">
        <f t="shared" si="9"/>
        <v>1.0369991038279291E-2</v>
      </c>
      <c r="Z189" s="32"/>
    </row>
    <row r="190" spans="21:26">
      <c r="U190" t="s">
        <v>301</v>
      </c>
      <c r="V190" s="1">
        <v>39140.28</v>
      </c>
      <c r="W190" s="24">
        <f t="shared" si="8"/>
        <v>9.625943228680045E-3</v>
      </c>
      <c r="X190" s="1">
        <v>404.4</v>
      </c>
      <c r="Y190" s="24">
        <f t="shared" si="9"/>
        <v>2.4835276229092651E-2</v>
      </c>
      <c r="Z190" s="32"/>
    </row>
    <row r="191" spans="21:26">
      <c r="U191" t="s">
        <v>302</v>
      </c>
      <c r="V191" s="1">
        <v>39067.33</v>
      </c>
      <c r="W191" s="24">
        <f t="shared" si="8"/>
        <v>-1.8638088434727029E-3</v>
      </c>
      <c r="X191" s="1">
        <v>407.2</v>
      </c>
      <c r="Y191" s="24">
        <f t="shared" si="9"/>
        <v>6.923837784371889E-3</v>
      </c>
      <c r="Z191" s="32"/>
    </row>
    <row r="192" spans="21:26">
      <c r="U192" t="s">
        <v>303</v>
      </c>
      <c r="V192" s="1">
        <v>38963.26</v>
      </c>
      <c r="W192" s="24">
        <f t="shared" si="8"/>
        <v>-2.663862618714874E-3</v>
      </c>
      <c r="X192" s="1">
        <v>401.8</v>
      </c>
      <c r="Y192" s="24">
        <f t="shared" si="9"/>
        <v>-1.3261296660117772E-2</v>
      </c>
      <c r="Z192" s="32"/>
    </row>
    <row r="193" spans="21:26">
      <c r="U193" t="s">
        <v>304</v>
      </c>
      <c r="V193" s="1">
        <v>37462.99</v>
      </c>
      <c r="W193" s="24">
        <f t="shared" si="8"/>
        <v>-3.8504734973408339E-2</v>
      </c>
      <c r="X193" s="1">
        <v>385.1</v>
      </c>
      <c r="Y193" s="24">
        <f t="shared" si="9"/>
        <v>-4.156296665007464E-2</v>
      </c>
      <c r="Z193" s="32"/>
    </row>
    <row r="194" spans="21:26">
      <c r="U194" t="s">
        <v>305</v>
      </c>
      <c r="V194" s="1">
        <v>37930.769999999997</v>
      </c>
      <c r="W194" s="24">
        <f t="shared" si="8"/>
        <v>1.2486456633600262E-2</v>
      </c>
      <c r="X194" s="1">
        <v>389.7</v>
      </c>
      <c r="Y194" s="24">
        <f t="shared" si="9"/>
        <v>1.1944949363801527E-2</v>
      </c>
      <c r="Z194" s="32"/>
    </row>
    <row r="195" spans="21:26">
      <c r="U195" t="s">
        <v>306</v>
      </c>
      <c r="V195" s="1">
        <v>39434.720000000001</v>
      </c>
      <c r="W195" s="24">
        <f t="shared" si="8"/>
        <v>3.964986737680265E-2</v>
      </c>
      <c r="X195" s="1">
        <v>431.75</v>
      </c>
      <c r="Y195" s="24">
        <f t="shared" si="9"/>
        <v>0.10790351552476274</v>
      </c>
      <c r="Z195" s="32"/>
    </row>
    <row r="196" spans="21:26">
      <c r="U196" t="s">
        <v>307</v>
      </c>
      <c r="V196" s="1">
        <v>39714.199999999997</v>
      </c>
      <c r="W196" s="24">
        <f t="shared" si="8"/>
        <v>7.0871556841280992E-3</v>
      </c>
      <c r="X196" s="1">
        <v>423.7</v>
      </c>
      <c r="Y196" s="24">
        <f t="shared" si="9"/>
        <v>-1.8645049218297682E-2</v>
      </c>
      <c r="Z196" s="32"/>
    </row>
    <row r="197" spans="21:26">
      <c r="U197" t="s">
        <v>308</v>
      </c>
      <c r="V197" s="1">
        <v>39615.9</v>
      </c>
      <c r="W197" s="24">
        <f t="shared" si="8"/>
        <v>-2.4751851982413031E-3</v>
      </c>
      <c r="X197" s="1">
        <v>416.6</v>
      </c>
      <c r="Y197" s="24">
        <f t="shared" si="9"/>
        <v>-1.6757139485484962E-2</v>
      </c>
      <c r="Z197" s="32"/>
    </row>
    <row r="198" spans="21:26">
      <c r="U198" t="s">
        <v>309</v>
      </c>
      <c r="V198" s="1">
        <v>39452.07</v>
      </c>
      <c r="W198" s="24">
        <f t="shared" si="8"/>
        <v>-4.1354607619668027E-3</v>
      </c>
      <c r="X198" s="1">
        <v>417.75</v>
      </c>
      <c r="Y198" s="24">
        <f t="shared" si="9"/>
        <v>2.7604416706672463E-3</v>
      </c>
      <c r="Z198" s="32"/>
    </row>
    <row r="199" spans="21:26">
      <c r="U199" t="s">
        <v>310</v>
      </c>
      <c r="V199" s="1">
        <v>39194.49</v>
      </c>
      <c r="W199" s="24">
        <f t="shared" si="8"/>
        <v>-6.5289349836397115E-3</v>
      </c>
      <c r="X199" s="1">
        <v>430.8</v>
      </c>
      <c r="Y199" s="24">
        <f t="shared" si="9"/>
        <v>3.1238779174147302E-2</v>
      </c>
      <c r="Z199" s="32"/>
    </row>
    <row r="200" spans="21:26">
      <c r="U200" t="s">
        <v>311</v>
      </c>
      <c r="V200" s="1">
        <v>39394.639999999999</v>
      </c>
      <c r="W200" s="24">
        <f t="shared" si="8"/>
        <v>5.106585134798225E-3</v>
      </c>
      <c r="X200" s="1">
        <v>437.1</v>
      </c>
      <c r="Y200" s="24">
        <f t="shared" si="9"/>
        <v>1.4623955431754876E-2</v>
      </c>
      <c r="Z200" s="32"/>
    </row>
    <row r="201" spans="21:26">
      <c r="U201" t="s">
        <v>312</v>
      </c>
      <c r="V201" s="1">
        <v>39513.39</v>
      </c>
      <c r="W201" s="24">
        <f t="shared" si="8"/>
        <v>3.0143694675215382E-3</v>
      </c>
      <c r="X201" s="1">
        <v>436.35</v>
      </c>
      <c r="Y201" s="24">
        <f t="shared" si="9"/>
        <v>-1.7158544955387933E-3</v>
      </c>
      <c r="Z201" s="32"/>
    </row>
    <row r="202" spans="21:26">
      <c r="U202" t="s">
        <v>313</v>
      </c>
      <c r="V202" s="1">
        <v>38736.230000000003</v>
      </c>
      <c r="W202" s="24">
        <f t="shared" si="8"/>
        <v>-1.9668269414494621E-2</v>
      </c>
      <c r="X202" s="1">
        <v>427.05</v>
      </c>
      <c r="Y202" s="24">
        <f t="shared" si="9"/>
        <v>-2.1313166036438624E-2</v>
      </c>
      <c r="Z202" s="32"/>
    </row>
    <row r="203" spans="21:26">
      <c r="U203" t="s">
        <v>314</v>
      </c>
      <c r="V203" s="1">
        <v>38337.01</v>
      </c>
      <c r="W203" s="24">
        <f t="shared" ref="W203:W266" si="10">V203/V202-1</f>
        <v>-1.0306113940360295E-2</v>
      </c>
      <c r="X203" s="1">
        <v>410.3</v>
      </c>
      <c r="Y203" s="24">
        <f t="shared" ref="Y203:Y266" si="11">X203/X202-1</f>
        <v>-3.9222573469148814E-2</v>
      </c>
      <c r="Z203" s="32"/>
    </row>
    <row r="204" spans="21:26">
      <c r="U204" t="s">
        <v>315</v>
      </c>
      <c r="V204" s="1">
        <v>37882.79</v>
      </c>
      <c r="W204" s="24">
        <f t="shared" si="10"/>
        <v>-1.1848081005795708E-2</v>
      </c>
      <c r="X204" s="1">
        <v>415.75</v>
      </c>
      <c r="Y204" s="24">
        <f t="shared" si="11"/>
        <v>1.3282963685108395E-2</v>
      </c>
      <c r="Z204" s="32"/>
    </row>
    <row r="205" spans="21:26">
      <c r="U205" t="s">
        <v>316</v>
      </c>
      <c r="V205" s="1">
        <v>37118.22</v>
      </c>
      <c r="W205" s="24">
        <f t="shared" si="10"/>
        <v>-2.0182515596132156E-2</v>
      </c>
      <c r="X205" s="1">
        <v>410.6</v>
      </c>
      <c r="Y205" s="24">
        <f t="shared" si="11"/>
        <v>-1.238725195429935E-2</v>
      </c>
      <c r="Z205" s="32"/>
    </row>
    <row r="206" spans="21:26">
      <c r="U206" t="s">
        <v>317</v>
      </c>
      <c r="V206" s="1">
        <v>37581.910000000003</v>
      </c>
      <c r="W206" s="24">
        <f t="shared" si="10"/>
        <v>1.2492247742483364E-2</v>
      </c>
      <c r="X206" s="1">
        <v>420.15</v>
      </c>
      <c r="Y206" s="24">
        <f t="shared" si="11"/>
        <v>2.3258645884072005E-2</v>
      </c>
      <c r="Z206" s="32"/>
    </row>
    <row r="207" spans="21:26">
      <c r="U207" t="s">
        <v>318</v>
      </c>
      <c r="V207" s="1">
        <v>37350.33</v>
      </c>
      <c r="W207" s="24">
        <f t="shared" si="10"/>
        <v>-6.1620071997405823E-3</v>
      </c>
      <c r="X207" s="1">
        <v>418.95</v>
      </c>
      <c r="Y207" s="24">
        <f t="shared" si="11"/>
        <v>-2.8561228132809591E-3</v>
      </c>
      <c r="Z207" s="32"/>
    </row>
    <row r="208" spans="21:26">
      <c r="U208" t="s">
        <v>319</v>
      </c>
      <c r="V208" s="1">
        <v>36701.160000000003</v>
      </c>
      <c r="W208" s="24">
        <f t="shared" si="10"/>
        <v>-1.7380569328303119E-2</v>
      </c>
      <c r="X208" s="1">
        <v>395.4</v>
      </c>
      <c r="Y208" s="24">
        <f t="shared" si="11"/>
        <v>-5.6211958467597634E-2</v>
      </c>
      <c r="Z208" s="32"/>
    </row>
    <row r="209" spans="21:26">
      <c r="U209" t="s">
        <v>320</v>
      </c>
      <c r="V209" s="1">
        <v>37332.79</v>
      </c>
      <c r="W209" s="24">
        <f t="shared" si="10"/>
        <v>1.7210082733079668E-2</v>
      </c>
      <c r="X209" s="1">
        <v>409.65</v>
      </c>
      <c r="Y209" s="24">
        <f t="shared" si="11"/>
        <v>3.6039453717754188E-2</v>
      </c>
      <c r="Z209" s="32"/>
    </row>
    <row r="210" spans="21:26">
      <c r="U210" t="s">
        <v>321</v>
      </c>
      <c r="V210" s="1">
        <v>36981.769999999997</v>
      </c>
      <c r="W210" s="24">
        <f t="shared" si="10"/>
        <v>-9.4024582679195223E-3</v>
      </c>
      <c r="X210" s="1">
        <v>391.35</v>
      </c>
      <c r="Y210" s="24">
        <f t="shared" si="11"/>
        <v>-4.4672281215671794E-2</v>
      </c>
      <c r="Z210" s="32"/>
    </row>
    <row r="211" spans="21:26">
      <c r="U211" t="s">
        <v>322</v>
      </c>
      <c r="V211" s="1">
        <v>37384.99</v>
      </c>
      <c r="W211" s="24">
        <f t="shared" si="10"/>
        <v>1.0903209878813325E-2</v>
      </c>
      <c r="X211" s="1">
        <v>413.4</v>
      </c>
      <c r="Y211" s="24">
        <f t="shared" si="11"/>
        <v>5.634342660022984E-2</v>
      </c>
      <c r="Z211" s="32"/>
    </row>
    <row r="212" spans="21:26">
      <c r="U212" t="s">
        <v>323</v>
      </c>
      <c r="V212" s="1">
        <v>38014.620000000003</v>
      </c>
      <c r="W212" s="24">
        <f t="shared" si="10"/>
        <v>1.6841785968112033E-2</v>
      </c>
      <c r="X212" s="1">
        <v>417.5</v>
      </c>
      <c r="Y212" s="24">
        <f t="shared" si="11"/>
        <v>9.9177552007740921E-3</v>
      </c>
      <c r="Z212" s="32"/>
    </row>
    <row r="213" spans="21:26">
      <c r="U213" t="s">
        <v>324</v>
      </c>
      <c r="V213" s="1">
        <v>38822.57</v>
      </c>
      <c r="W213" s="24">
        <f t="shared" si="10"/>
        <v>2.1253665037293423E-2</v>
      </c>
      <c r="X213" s="1">
        <v>449.2</v>
      </c>
      <c r="Y213" s="24">
        <f t="shared" si="11"/>
        <v>7.5928143712574725E-2</v>
      </c>
      <c r="Z213" s="32"/>
    </row>
    <row r="214" spans="21:26">
      <c r="U214" t="s">
        <v>325</v>
      </c>
      <c r="V214" s="1">
        <v>37673.31</v>
      </c>
      <c r="W214" s="24">
        <f t="shared" si="10"/>
        <v>-2.9602883065186103E-2</v>
      </c>
      <c r="X214" s="1">
        <v>413.9</v>
      </c>
      <c r="Y214" s="24">
        <f t="shared" si="11"/>
        <v>-7.8584149599287612E-2</v>
      </c>
      <c r="Z214" s="32"/>
    </row>
    <row r="215" spans="21:26">
      <c r="U215" t="s">
        <v>326</v>
      </c>
      <c r="V215" s="1">
        <v>38127.08</v>
      </c>
      <c r="W215" s="24">
        <f t="shared" si="10"/>
        <v>1.2044866777036756E-2</v>
      </c>
      <c r="X215" s="1">
        <v>428.55</v>
      </c>
      <c r="Y215" s="24">
        <f t="shared" si="11"/>
        <v>3.5395022952404043E-2</v>
      </c>
      <c r="Z215" s="32"/>
    </row>
    <row r="216" spans="21:26">
      <c r="U216" t="s">
        <v>327</v>
      </c>
      <c r="V216" s="1">
        <v>39298.379999999997</v>
      </c>
      <c r="W216" s="24">
        <f t="shared" si="10"/>
        <v>3.0720946896536372E-2</v>
      </c>
      <c r="X216" s="1">
        <v>437.8</v>
      </c>
      <c r="Y216" s="24">
        <f t="shared" si="11"/>
        <v>2.1584412553961041E-2</v>
      </c>
      <c r="Z216" s="32"/>
    </row>
    <row r="217" spans="21:26">
      <c r="U217" t="s">
        <v>328</v>
      </c>
      <c r="V217" s="1">
        <v>39250.199999999997</v>
      </c>
      <c r="W217" s="24">
        <f t="shared" si="10"/>
        <v>-1.2260047360731496E-3</v>
      </c>
      <c r="X217" s="1">
        <v>469.55</v>
      </c>
      <c r="Y217" s="24">
        <f t="shared" si="11"/>
        <v>7.252169940612152E-2</v>
      </c>
      <c r="Z217" s="32"/>
    </row>
    <row r="218" spans="21:26">
      <c r="U218" t="s">
        <v>329</v>
      </c>
      <c r="V218" s="1">
        <v>40165.03</v>
      </c>
      <c r="W218" s="24">
        <f t="shared" si="10"/>
        <v>2.3307651935531526E-2</v>
      </c>
      <c r="X218" s="1">
        <v>462.25</v>
      </c>
      <c r="Y218" s="24">
        <f t="shared" si="11"/>
        <v>-1.5546800127781979E-2</v>
      </c>
      <c r="Z218" s="32"/>
    </row>
    <row r="219" spans="21:26">
      <c r="U219" t="s">
        <v>330</v>
      </c>
      <c r="V219" s="1">
        <v>40323.61</v>
      </c>
      <c r="W219" s="24">
        <f t="shared" si="10"/>
        <v>3.9482106698289776E-3</v>
      </c>
      <c r="X219" s="1">
        <v>489.45</v>
      </c>
      <c r="Y219" s="24">
        <f t="shared" si="11"/>
        <v>5.8842617631151839E-2</v>
      </c>
      <c r="Z219" s="32"/>
    </row>
    <row r="220" spans="21:26">
      <c r="U220" t="s">
        <v>331</v>
      </c>
      <c r="V220" s="1">
        <v>40356.69</v>
      </c>
      <c r="W220" s="24">
        <f t="shared" si="10"/>
        <v>8.20363057771889E-4</v>
      </c>
      <c r="X220" s="1">
        <v>499.85</v>
      </c>
      <c r="Y220" s="24">
        <f t="shared" si="11"/>
        <v>2.1248339973439556E-2</v>
      </c>
      <c r="Z220" s="32"/>
    </row>
    <row r="221" spans="21:26">
      <c r="U221" t="s">
        <v>332</v>
      </c>
      <c r="V221" s="1">
        <v>40359.410000000003</v>
      </c>
      <c r="W221" s="24">
        <f t="shared" si="10"/>
        <v>6.739898638863373E-5</v>
      </c>
      <c r="X221" s="1">
        <v>496.8</v>
      </c>
      <c r="Y221" s="24">
        <f t="shared" si="11"/>
        <v>-6.1018305491647995E-3</v>
      </c>
      <c r="Z221" s="32"/>
    </row>
    <row r="222" spans="21:26">
      <c r="U222" t="s">
        <v>333</v>
      </c>
      <c r="V222" s="1">
        <v>40793.81</v>
      </c>
      <c r="W222" s="24">
        <f t="shared" si="10"/>
        <v>1.0763289156110023E-2</v>
      </c>
      <c r="X222" s="1">
        <v>512.6</v>
      </c>
      <c r="Y222" s="24">
        <f t="shared" si="11"/>
        <v>3.180354267310781E-2</v>
      </c>
      <c r="Z222" s="32"/>
    </row>
    <row r="223" spans="21:26">
      <c r="U223" t="s">
        <v>334</v>
      </c>
      <c r="V223" s="1">
        <v>40445.15</v>
      </c>
      <c r="W223" s="24">
        <f t="shared" si="10"/>
        <v>-8.5468849318069973E-3</v>
      </c>
      <c r="X223" s="1">
        <v>524.79999999999995</v>
      </c>
      <c r="Y223" s="24">
        <f t="shared" si="11"/>
        <v>2.380023410066312E-2</v>
      </c>
      <c r="Z223" s="32"/>
    </row>
    <row r="224" spans="21:26">
      <c r="U224" t="s">
        <v>335</v>
      </c>
      <c r="V224" s="1">
        <v>41009.71</v>
      </c>
      <c r="W224" s="24">
        <f t="shared" si="10"/>
        <v>1.3958657589352441E-2</v>
      </c>
      <c r="X224" s="1">
        <v>537.04999999999995</v>
      </c>
      <c r="Y224" s="24">
        <f t="shared" si="11"/>
        <v>2.3342225609756184E-2</v>
      </c>
      <c r="Z224" s="32"/>
    </row>
    <row r="225" spans="21:26">
      <c r="U225" t="s">
        <v>336</v>
      </c>
      <c r="V225" s="1">
        <v>41681.54</v>
      </c>
      <c r="W225" s="24">
        <f t="shared" si="10"/>
        <v>1.6382217772327623E-2</v>
      </c>
      <c r="X225" s="1">
        <v>546.1</v>
      </c>
      <c r="Y225" s="24">
        <f t="shared" si="11"/>
        <v>1.6851317381994413E-2</v>
      </c>
      <c r="Z225" s="32"/>
    </row>
    <row r="226" spans="21:26">
      <c r="U226" t="s">
        <v>337</v>
      </c>
      <c r="V226" s="1">
        <v>41575.14</v>
      </c>
      <c r="W226" s="24">
        <f t="shared" si="10"/>
        <v>-2.5526887922087127E-3</v>
      </c>
      <c r="X226" s="1">
        <v>549.4</v>
      </c>
      <c r="Y226" s="24">
        <f t="shared" si="11"/>
        <v>6.0428492950008739E-3</v>
      </c>
      <c r="Z226" s="32"/>
    </row>
    <row r="227" spans="21:26">
      <c r="U227" t="s">
        <v>338</v>
      </c>
      <c r="V227" s="1">
        <v>41464.61</v>
      </c>
      <c r="W227" s="24">
        <f t="shared" si="10"/>
        <v>-2.6585598990165327E-3</v>
      </c>
      <c r="X227" s="1">
        <v>538.85</v>
      </c>
      <c r="Y227" s="24">
        <f t="shared" si="11"/>
        <v>-1.9202766654532133E-2</v>
      </c>
      <c r="Z227" s="32"/>
    </row>
    <row r="228" spans="21:26">
      <c r="U228" t="s">
        <v>339</v>
      </c>
      <c r="V228" s="1">
        <v>41599.72</v>
      </c>
      <c r="W228" s="24">
        <f t="shared" si="10"/>
        <v>3.2584413551701719E-3</v>
      </c>
      <c r="X228" s="1">
        <v>540.25</v>
      </c>
      <c r="Y228" s="24">
        <f t="shared" si="11"/>
        <v>2.5981256379326023E-3</v>
      </c>
      <c r="Z228" s="32"/>
    </row>
    <row r="229" spans="21:26">
      <c r="U229" t="s">
        <v>340</v>
      </c>
      <c r="V229" s="1">
        <v>41945.37</v>
      </c>
      <c r="W229" s="24">
        <f t="shared" si="10"/>
        <v>8.3089501563953228E-3</v>
      </c>
      <c r="X229" s="1">
        <v>532.04999999999995</v>
      </c>
      <c r="Y229" s="24">
        <f t="shared" si="11"/>
        <v>-1.5178158260064856E-2</v>
      </c>
      <c r="Z229" s="32"/>
    </row>
    <row r="230" spans="21:26">
      <c r="U230" t="s">
        <v>341</v>
      </c>
      <c r="V230" s="1">
        <v>41613.19</v>
      </c>
      <c r="W230" s="24">
        <f t="shared" si="10"/>
        <v>-7.9193484286823601E-3</v>
      </c>
      <c r="X230" s="1">
        <v>533.85</v>
      </c>
      <c r="Y230" s="24">
        <f t="shared" si="11"/>
        <v>3.3831406822668608E-3</v>
      </c>
      <c r="Z230" s="32"/>
    </row>
    <row r="231" spans="21:26">
      <c r="U231" t="s">
        <v>342</v>
      </c>
      <c r="V231" s="1">
        <v>39735.53</v>
      </c>
      <c r="W231" s="24">
        <f t="shared" si="10"/>
        <v>-4.5121751060180793E-2</v>
      </c>
      <c r="X231" s="1">
        <v>504.6</v>
      </c>
      <c r="Y231" s="24">
        <f t="shared" si="11"/>
        <v>-5.479067153694861E-2</v>
      </c>
      <c r="Z231" s="32"/>
    </row>
    <row r="232" spans="21:26">
      <c r="U232" t="s">
        <v>343</v>
      </c>
      <c r="V232" s="1">
        <v>41141.85</v>
      </c>
      <c r="W232" s="24">
        <f t="shared" si="10"/>
        <v>3.539200307633994E-2</v>
      </c>
      <c r="X232" s="1">
        <v>536.45000000000005</v>
      </c>
      <c r="Y232" s="24">
        <f t="shared" si="11"/>
        <v>6.3119302417756762E-2</v>
      </c>
      <c r="Z232" s="32"/>
    </row>
    <row r="233" spans="21:26">
      <c r="U233" t="s">
        <v>344</v>
      </c>
      <c r="V233" s="1">
        <v>41257.74</v>
      </c>
      <c r="W233" s="24">
        <f t="shared" si="10"/>
        <v>2.8168397872239126E-3</v>
      </c>
      <c r="X233" s="1">
        <v>545.79999999999995</v>
      </c>
      <c r="Y233" s="24">
        <f t="shared" si="11"/>
        <v>1.7429396961506027E-2</v>
      </c>
      <c r="Z233" s="32"/>
    </row>
    <row r="234" spans="21:26">
      <c r="U234" t="s">
        <v>345</v>
      </c>
      <c r="V234" s="1">
        <v>41170.120000000003</v>
      </c>
      <c r="W234" s="24">
        <f t="shared" si="10"/>
        <v>-2.1237227245116674E-3</v>
      </c>
      <c r="X234" s="1">
        <v>547</v>
      </c>
      <c r="Y234" s="24">
        <f t="shared" si="11"/>
        <v>2.1986075485527223E-3</v>
      </c>
      <c r="Z234" s="32"/>
    </row>
    <row r="235" spans="21:26">
      <c r="U235" t="s">
        <v>346</v>
      </c>
      <c r="V235" s="1">
        <v>38297.29</v>
      </c>
      <c r="W235" s="24">
        <f t="shared" si="10"/>
        <v>-6.9779490562573043E-2</v>
      </c>
      <c r="X235" s="1">
        <v>497.25</v>
      </c>
      <c r="Y235" s="24">
        <f t="shared" si="11"/>
        <v>-9.0950639853747739E-2</v>
      </c>
      <c r="Z235" s="32"/>
    </row>
    <row r="236" spans="21:26">
      <c r="U236" t="s">
        <v>347</v>
      </c>
      <c r="V236" s="1">
        <v>37576.620000000003</v>
      </c>
      <c r="W236" s="24">
        <f t="shared" si="10"/>
        <v>-1.881778057925243E-2</v>
      </c>
      <c r="X236" s="1">
        <v>486.35</v>
      </c>
      <c r="Y236" s="24">
        <f t="shared" si="11"/>
        <v>-2.1920563097033607E-2</v>
      </c>
      <c r="Z236" s="32"/>
    </row>
    <row r="237" spans="21:26">
      <c r="U237" t="s">
        <v>348</v>
      </c>
      <c r="V237" s="1">
        <v>34103.480000000003</v>
      </c>
      <c r="W237" s="24">
        <f t="shared" si="10"/>
        <v>-9.2428217333011875E-2</v>
      </c>
      <c r="X237" s="1">
        <v>447.2</v>
      </c>
      <c r="Y237" s="24">
        <f t="shared" si="11"/>
        <v>-8.049758404441254E-2</v>
      </c>
      <c r="Z237" s="32"/>
    </row>
    <row r="238" spans="21:26">
      <c r="U238" t="s">
        <v>349</v>
      </c>
      <c r="V238" s="1">
        <v>29915.96</v>
      </c>
      <c r="W238" s="24">
        <f t="shared" si="10"/>
        <v>-0.12278864209752216</v>
      </c>
      <c r="X238" s="1">
        <v>345.7</v>
      </c>
      <c r="Y238" s="24">
        <f t="shared" si="11"/>
        <v>-0.22696779964221825</v>
      </c>
      <c r="Z238" s="32"/>
    </row>
    <row r="239" spans="21:26">
      <c r="U239" t="s">
        <v>350</v>
      </c>
      <c r="V239" s="1">
        <v>29815.59</v>
      </c>
      <c r="W239" s="24">
        <f t="shared" si="10"/>
        <v>-3.3550653229914573E-3</v>
      </c>
      <c r="X239" s="1">
        <v>339.85</v>
      </c>
      <c r="Y239" s="24">
        <f t="shared" si="11"/>
        <v>-1.6922186867225797E-2</v>
      </c>
      <c r="Z239" s="32"/>
    </row>
    <row r="240" spans="21:26">
      <c r="U240" t="s">
        <v>351</v>
      </c>
      <c r="V240" s="1">
        <v>27590.95</v>
      </c>
      <c r="W240" s="24">
        <f t="shared" si="10"/>
        <v>-7.4613314712202561E-2</v>
      </c>
      <c r="X240" s="1">
        <v>286.64999999999998</v>
      </c>
      <c r="Y240" s="24">
        <f t="shared" si="11"/>
        <v>-0.15653964984552016</v>
      </c>
      <c r="Z240" s="32"/>
    </row>
    <row r="241" spans="21:26">
      <c r="U241" t="s">
        <v>352</v>
      </c>
      <c r="V241" s="1">
        <v>31159.62</v>
      </c>
      <c r="W241" s="24">
        <f t="shared" si="10"/>
        <v>0.12934204875149269</v>
      </c>
      <c r="X241" s="1">
        <v>342.7</v>
      </c>
      <c r="Y241" s="24">
        <f t="shared" si="11"/>
        <v>0.19553462410605271</v>
      </c>
      <c r="Z241" s="32"/>
    </row>
    <row r="242" spans="21:26">
      <c r="U242" t="s">
        <v>353</v>
      </c>
      <c r="V242" s="1">
        <v>31588.720000000001</v>
      </c>
      <c r="W242" s="24">
        <f t="shared" si="10"/>
        <v>1.3771028016387854E-2</v>
      </c>
      <c r="X242" s="1">
        <v>375.55</v>
      </c>
      <c r="Y242" s="24">
        <f t="shared" si="11"/>
        <v>9.5856434199008023E-2</v>
      </c>
      <c r="Z242" s="32"/>
    </row>
    <row r="243" spans="21:26">
      <c r="U243" t="s">
        <v>354</v>
      </c>
      <c r="V243" s="1">
        <v>31327.22</v>
      </c>
      <c r="W243" s="24">
        <f t="shared" si="10"/>
        <v>-8.2782714842513094E-3</v>
      </c>
      <c r="X243" s="1">
        <v>334.85</v>
      </c>
      <c r="Y243" s="24">
        <f t="shared" si="11"/>
        <v>-0.10837438423645318</v>
      </c>
      <c r="Z243" s="32"/>
    </row>
    <row r="244" spans="21:26">
      <c r="U244" t="s">
        <v>355</v>
      </c>
      <c r="V244" s="1">
        <v>33717.620000000003</v>
      </c>
      <c r="W244" s="24">
        <f t="shared" si="10"/>
        <v>7.6304249148184899E-2</v>
      </c>
      <c r="X244" s="1">
        <v>380.15</v>
      </c>
      <c r="Y244" s="24">
        <f t="shared" si="11"/>
        <v>0.13528445572644454</v>
      </c>
      <c r="Z244" s="32"/>
    </row>
    <row r="245" spans="21:26">
      <c r="U245" t="s">
        <v>356</v>
      </c>
      <c r="V245" s="1">
        <v>31642.7</v>
      </c>
      <c r="W245" s="24">
        <f t="shared" si="10"/>
        <v>-6.1538151269277086E-2</v>
      </c>
      <c r="X245" s="1">
        <v>337.7</v>
      </c>
      <c r="Y245" s="24">
        <f t="shared" si="11"/>
        <v>-0.11166644745495202</v>
      </c>
      <c r="Z245" s="32"/>
    </row>
    <row r="246" spans="21:26">
      <c r="U246" t="s">
        <v>357</v>
      </c>
      <c r="V246" s="1">
        <v>31097.73</v>
      </c>
      <c r="W246" s="24">
        <f t="shared" si="10"/>
        <v>-1.7222613746614601E-2</v>
      </c>
      <c r="X246" s="1">
        <v>322.7</v>
      </c>
      <c r="Y246" s="24">
        <f t="shared" si="11"/>
        <v>-4.4418122594018339E-2</v>
      </c>
      <c r="Z246" s="32"/>
    </row>
    <row r="247" spans="21:26">
      <c r="U247" t="s">
        <v>358</v>
      </c>
      <c r="V247" s="1">
        <v>30672.59</v>
      </c>
      <c r="W247" s="24">
        <f t="shared" si="10"/>
        <v>-1.3671094321032418E-2</v>
      </c>
      <c r="X247" s="1">
        <v>291.05</v>
      </c>
      <c r="Y247" s="24">
        <f t="shared" si="11"/>
        <v>-9.8078710876975506E-2</v>
      </c>
      <c r="Z247" s="32"/>
    </row>
    <row r="248" spans="21:26">
      <c r="U248" t="s">
        <v>359</v>
      </c>
      <c r="V248" s="1">
        <v>32424.1</v>
      </c>
      <c r="W248" s="24">
        <f t="shared" si="10"/>
        <v>5.7103426870701135E-2</v>
      </c>
      <c r="X248" s="1">
        <v>331.95</v>
      </c>
      <c r="Y248" s="24">
        <f t="shared" si="11"/>
        <v>0.14052568287235867</v>
      </c>
      <c r="Z248" s="32"/>
    </row>
    <row r="249" spans="21:26">
      <c r="U249" t="s">
        <v>360</v>
      </c>
      <c r="V249" s="1">
        <v>34287.24</v>
      </c>
      <c r="W249" s="24">
        <f t="shared" si="10"/>
        <v>5.7461579504134219E-2</v>
      </c>
      <c r="X249" s="1">
        <v>357.2</v>
      </c>
      <c r="Y249" s="24">
        <f t="shared" si="11"/>
        <v>7.6065672541045348E-2</v>
      </c>
      <c r="Z249" s="32"/>
    </row>
    <row r="250" spans="21:26">
      <c r="U250" t="s">
        <v>361</v>
      </c>
      <c r="V250" s="1">
        <v>33780.89</v>
      </c>
      <c r="W250" s="24">
        <f t="shared" si="10"/>
        <v>-1.4767884495806571E-2</v>
      </c>
      <c r="X250" s="1">
        <v>344.2</v>
      </c>
      <c r="Y250" s="24">
        <f t="shared" si="11"/>
        <v>-3.6394176931690891E-2</v>
      </c>
      <c r="Z250" s="32"/>
    </row>
    <row r="251" spans="21:26">
      <c r="U251" t="s">
        <v>362</v>
      </c>
      <c r="V251" s="1">
        <v>34731.730000000003</v>
      </c>
      <c r="W251" s="24">
        <f t="shared" si="10"/>
        <v>2.8147274982986081E-2</v>
      </c>
      <c r="X251" s="1">
        <v>363.8</v>
      </c>
      <c r="Y251" s="24">
        <f t="shared" si="11"/>
        <v>5.6943637420104665E-2</v>
      </c>
      <c r="Z251" s="32"/>
    </row>
    <row r="252" spans="21:26">
      <c r="U252" t="s">
        <v>363</v>
      </c>
      <c r="V252" s="1">
        <v>35171.269999999997</v>
      </c>
      <c r="W252" s="24">
        <f t="shared" si="10"/>
        <v>1.2655286678780353E-2</v>
      </c>
      <c r="X252" s="1">
        <v>349.1</v>
      </c>
      <c r="Y252" s="24">
        <f t="shared" si="11"/>
        <v>-4.0406816932380352E-2</v>
      </c>
      <c r="Z252" s="32"/>
    </row>
    <row r="253" spans="21:26">
      <c r="U253" t="s">
        <v>364</v>
      </c>
      <c r="V253" s="1">
        <v>36021.42</v>
      </c>
      <c r="W253" s="24">
        <f t="shared" si="10"/>
        <v>2.4171717427320605E-2</v>
      </c>
      <c r="X253" s="1">
        <v>361</v>
      </c>
      <c r="Y253" s="24">
        <f t="shared" si="11"/>
        <v>3.4087653967344478E-2</v>
      </c>
      <c r="Z253" s="32"/>
    </row>
    <row r="254" spans="21:26">
      <c r="U254" t="s">
        <v>365</v>
      </c>
      <c r="V254" s="1">
        <v>36594.33</v>
      </c>
      <c r="W254" s="24">
        <f t="shared" si="10"/>
        <v>1.5904703368162743E-2</v>
      </c>
      <c r="X254" s="1">
        <v>360.35</v>
      </c>
      <c r="Y254" s="24">
        <f t="shared" si="11"/>
        <v>-1.8005540166203815E-3</v>
      </c>
      <c r="Z254" s="32"/>
    </row>
    <row r="255" spans="21:26">
      <c r="U255" t="s">
        <v>366</v>
      </c>
      <c r="V255" s="1">
        <v>37020.14</v>
      </c>
      <c r="W255" s="24">
        <f t="shared" si="10"/>
        <v>1.1635955624819339E-2</v>
      </c>
      <c r="X255" s="1">
        <v>353.8</v>
      </c>
      <c r="Y255" s="24">
        <f t="shared" si="11"/>
        <v>-1.8176772582211731E-2</v>
      </c>
      <c r="Z255" s="32"/>
    </row>
    <row r="256" spans="21:26">
      <c r="U256" t="s">
        <v>367</v>
      </c>
      <c r="V256" s="1">
        <v>38128.9</v>
      </c>
      <c r="W256" s="24">
        <f t="shared" si="10"/>
        <v>2.9950183872886615E-2</v>
      </c>
      <c r="X256" s="1">
        <v>381.8</v>
      </c>
      <c r="Y256" s="24">
        <f t="shared" si="11"/>
        <v>7.9140757490107294E-2</v>
      </c>
      <c r="Z256" s="32"/>
    </row>
    <row r="257" spans="21:26">
      <c r="U257" t="s">
        <v>368</v>
      </c>
      <c r="V257" s="1">
        <v>37606.89</v>
      </c>
      <c r="W257" s="24">
        <f t="shared" si="10"/>
        <v>-1.3690665086063425E-2</v>
      </c>
      <c r="X257" s="1">
        <v>346.8</v>
      </c>
      <c r="Y257" s="24">
        <f t="shared" si="11"/>
        <v>-9.1671031953902582E-2</v>
      </c>
      <c r="Z257" s="32"/>
    </row>
    <row r="258" spans="21:26">
      <c r="U258" t="s">
        <v>369</v>
      </c>
      <c r="V258" s="1">
        <v>38040.57</v>
      </c>
      <c r="W258" s="24">
        <f t="shared" si="10"/>
        <v>1.1531929388471029E-2</v>
      </c>
      <c r="X258" s="1">
        <v>357.95</v>
      </c>
      <c r="Y258" s="24">
        <f t="shared" si="11"/>
        <v>3.2151095732410484E-2</v>
      </c>
      <c r="Z258" s="32"/>
    </row>
    <row r="259" spans="21:26">
      <c r="U259" t="s">
        <v>370</v>
      </c>
      <c r="V259" s="1">
        <v>37877.339999999997</v>
      </c>
      <c r="W259" s="24">
        <f t="shared" si="10"/>
        <v>-4.2909451672255017E-3</v>
      </c>
      <c r="X259" s="1">
        <v>361.4</v>
      </c>
      <c r="Y259" s="24">
        <f t="shared" si="11"/>
        <v>9.638217628160417E-3</v>
      </c>
      <c r="Z259" s="32"/>
    </row>
    <row r="260" spans="21:26">
      <c r="U260" t="s">
        <v>371</v>
      </c>
      <c r="V260" s="1">
        <v>38434.720000000001</v>
      </c>
      <c r="W260" s="24">
        <f t="shared" si="10"/>
        <v>1.4715394481238819E-2</v>
      </c>
      <c r="X260" s="1">
        <v>371.15</v>
      </c>
      <c r="Y260" s="24">
        <f t="shared" si="11"/>
        <v>2.6978417266187105E-2</v>
      </c>
      <c r="Z260" s="32"/>
    </row>
    <row r="261" spans="21:26">
      <c r="U261" t="s">
        <v>372</v>
      </c>
      <c r="V261" s="1">
        <v>39467.31</v>
      </c>
      <c r="W261" s="24">
        <f t="shared" si="10"/>
        <v>2.6866073175503713E-2</v>
      </c>
      <c r="X261" s="1">
        <v>409.7</v>
      </c>
      <c r="Y261" s="24">
        <f t="shared" si="11"/>
        <v>0.10386636130944371</v>
      </c>
      <c r="Z261" s="32"/>
    </row>
    <row r="262" spans="21:26">
      <c r="U262" t="s">
        <v>373</v>
      </c>
      <c r="V262" s="1">
        <v>38357.18</v>
      </c>
      <c r="W262" s="24">
        <f t="shared" si="10"/>
        <v>-2.8127835416196234E-2</v>
      </c>
      <c r="X262" s="1">
        <v>372.55</v>
      </c>
      <c r="Y262" s="24">
        <f t="shared" si="11"/>
        <v>-9.0676104466682839E-2</v>
      </c>
      <c r="Z262" s="32"/>
    </row>
    <row r="263" spans="21:26">
      <c r="U263" t="s">
        <v>374</v>
      </c>
      <c r="V263" s="1">
        <v>38854.550000000003</v>
      </c>
      <c r="W263" s="24">
        <f t="shared" si="10"/>
        <v>1.2966803086149836E-2</v>
      </c>
      <c r="X263" s="1">
        <v>370.5</v>
      </c>
      <c r="Y263" s="24">
        <f t="shared" si="11"/>
        <v>-5.5026170983760725E-3</v>
      </c>
      <c r="Z263" s="32"/>
    </row>
    <row r="264" spans="21:26">
      <c r="U264" t="s">
        <v>375</v>
      </c>
      <c r="V264" s="1">
        <v>38845.82</v>
      </c>
      <c r="W264" s="24">
        <f t="shared" si="10"/>
        <v>-2.2468411035525548E-4</v>
      </c>
      <c r="X264" s="1">
        <v>369.55</v>
      </c>
      <c r="Y264" s="24">
        <f t="shared" si="11"/>
        <v>-2.564102564102555E-3</v>
      </c>
      <c r="Z264" s="32"/>
    </row>
    <row r="265" spans="21:26">
      <c r="U265" t="s">
        <v>376</v>
      </c>
      <c r="V265" s="1">
        <v>37388.660000000003</v>
      </c>
      <c r="W265" s="24">
        <f t="shared" si="10"/>
        <v>-3.7511371879908717E-2</v>
      </c>
      <c r="X265" s="1">
        <v>348.65</v>
      </c>
      <c r="Y265" s="24">
        <f t="shared" si="11"/>
        <v>-5.6555269922879292E-2</v>
      </c>
      <c r="Z265" s="32"/>
    </row>
    <row r="266" spans="21:26">
      <c r="U266" t="s">
        <v>377</v>
      </c>
      <c r="V266" s="1">
        <v>38697.050000000003</v>
      </c>
      <c r="W266" s="24">
        <f t="shared" si="10"/>
        <v>3.4994300410873258E-2</v>
      </c>
      <c r="X266" s="1">
        <v>369.2</v>
      </c>
      <c r="Y266" s="24">
        <f t="shared" si="11"/>
        <v>5.8941632009178235E-2</v>
      </c>
      <c r="Z266" s="32"/>
    </row>
    <row r="267" spans="21:26">
      <c r="U267" t="s">
        <v>378</v>
      </c>
      <c r="V267" s="1">
        <v>40509.49</v>
      </c>
      <c r="W267" s="24">
        <f t="shared" ref="W267:W330" si="12">V267/V266-1</f>
        <v>4.6836645170626579E-2</v>
      </c>
      <c r="X267" s="1">
        <v>401.5</v>
      </c>
      <c r="Y267" s="24">
        <f t="shared" ref="Y267:Y330" si="13">X267/X266-1</f>
        <v>8.748645720476711E-2</v>
      </c>
      <c r="Z267" s="32"/>
    </row>
    <row r="268" spans="21:26">
      <c r="U268" t="s">
        <v>379</v>
      </c>
      <c r="V268" s="1">
        <v>39982.980000000003</v>
      </c>
      <c r="W268" s="24">
        <f t="shared" si="12"/>
        <v>-1.299720139651217E-2</v>
      </c>
      <c r="X268" s="1">
        <v>396.1</v>
      </c>
      <c r="Y268" s="24">
        <f t="shared" si="13"/>
        <v>-1.3449564134495606E-2</v>
      </c>
      <c r="Z268" s="32"/>
    </row>
    <row r="269" spans="21:26">
      <c r="U269" t="s">
        <v>380</v>
      </c>
      <c r="V269" s="1">
        <v>40685.5</v>
      </c>
      <c r="W269" s="24">
        <f t="shared" si="12"/>
        <v>1.7570476237638966E-2</v>
      </c>
      <c r="X269" s="1">
        <v>416.95</v>
      </c>
      <c r="Y269" s="24">
        <f t="shared" si="13"/>
        <v>5.2638222671042678E-2</v>
      </c>
      <c r="Z269" s="32"/>
    </row>
    <row r="270" spans="21:26">
      <c r="U270" t="s">
        <v>381</v>
      </c>
      <c r="V270" s="1">
        <v>39614.07</v>
      </c>
      <c r="W270" s="24">
        <f t="shared" si="12"/>
        <v>-2.6334443474948066E-2</v>
      </c>
      <c r="X270" s="1">
        <v>392.6</v>
      </c>
      <c r="Y270" s="24">
        <f t="shared" si="13"/>
        <v>-5.8400287804292961E-2</v>
      </c>
      <c r="Z270" s="32"/>
    </row>
    <row r="271" spans="21:26">
      <c r="U271" t="s">
        <v>382</v>
      </c>
      <c r="V271" s="1">
        <v>41893.06</v>
      </c>
      <c r="W271" s="24">
        <f t="shared" si="12"/>
        <v>5.7529812008713099E-2</v>
      </c>
      <c r="X271" s="1">
        <v>442.8</v>
      </c>
      <c r="Y271" s="24">
        <f t="shared" si="13"/>
        <v>0.12786551197147222</v>
      </c>
      <c r="Z271" s="32"/>
    </row>
    <row r="272" spans="21:26">
      <c r="U272" t="s">
        <v>383</v>
      </c>
      <c r="V272" s="1">
        <v>43637.98</v>
      </c>
      <c r="W272" s="24">
        <f t="shared" si="12"/>
        <v>4.1651767619744318E-2</v>
      </c>
      <c r="X272" s="1">
        <v>486.9</v>
      </c>
      <c r="Y272" s="24">
        <f t="shared" si="13"/>
        <v>9.9593495934959364E-2</v>
      </c>
      <c r="Z272" s="32"/>
    </row>
    <row r="273" spans="21:26">
      <c r="U273" t="s">
        <v>384</v>
      </c>
      <c r="V273" s="1">
        <v>43882.25</v>
      </c>
      <c r="W273" s="24">
        <f t="shared" si="12"/>
        <v>5.5976468204990137E-3</v>
      </c>
      <c r="X273" s="1">
        <v>480.2</v>
      </c>
      <c r="Y273" s="24">
        <f t="shared" si="13"/>
        <v>-1.376052577531317E-2</v>
      </c>
      <c r="Z273" s="32"/>
    </row>
    <row r="274" spans="21:26">
      <c r="U274" t="s">
        <v>385</v>
      </c>
      <c r="V274" s="1">
        <v>44149.72</v>
      </c>
      <c r="W274" s="24">
        <f t="shared" si="12"/>
        <v>6.0951751562419165E-3</v>
      </c>
      <c r="X274" s="1">
        <v>473.35</v>
      </c>
      <c r="Y274" s="24">
        <f t="shared" si="13"/>
        <v>-1.4264889629321043E-2</v>
      </c>
      <c r="Z274" s="32"/>
    </row>
    <row r="275" spans="21:26">
      <c r="U275" t="s">
        <v>386</v>
      </c>
      <c r="V275" s="1">
        <v>45079.55</v>
      </c>
      <c r="W275" s="24">
        <f t="shared" si="12"/>
        <v>2.1060835719909576E-2</v>
      </c>
      <c r="X275" s="1">
        <v>502.05</v>
      </c>
      <c r="Y275" s="24">
        <f t="shared" si="13"/>
        <v>6.0631667899017527E-2</v>
      </c>
      <c r="Z275" s="32"/>
    </row>
    <row r="276" spans="21:26">
      <c r="U276" t="s">
        <v>387</v>
      </c>
      <c r="V276" s="1">
        <v>46099.01</v>
      </c>
      <c r="W276" s="24">
        <f t="shared" si="12"/>
        <v>2.2614688922138804E-2</v>
      </c>
      <c r="X276" s="1">
        <v>515.45000000000005</v>
      </c>
      <c r="Y276" s="24">
        <f t="shared" si="13"/>
        <v>2.6690568668459314E-2</v>
      </c>
      <c r="Z276" s="32"/>
    </row>
    <row r="277" spans="21:26">
      <c r="U277" t="s">
        <v>388</v>
      </c>
      <c r="V277" s="1">
        <v>46960.69</v>
      </c>
      <c r="W277" s="24">
        <f t="shared" si="12"/>
        <v>1.8691941540610157E-2</v>
      </c>
      <c r="X277" s="1">
        <v>517.15</v>
      </c>
      <c r="Y277" s="24">
        <f t="shared" si="13"/>
        <v>3.2980890484042291E-3</v>
      </c>
      <c r="Z277" s="32"/>
    </row>
    <row r="278" spans="21:26">
      <c r="U278" t="s">
        <v>389</v>
      </c>
      <c r="V278" s="1">
        <v>46973.54</v>
      </c>
      <c r="W278" s="24">
        <f t="shared" si="12"/>
        <v>2.7363311740091767E-4</v>
      </c>
      <c r="X278" s="1">
        <v>513.54999999999995</v>
      </c>
      <c r="Y278" s="24">
        <f t="shared" si="13"/>
        <v>-6.9612298172677667E-3</v>
      </c>
      <c r="Z278" s="32"/>
    </row>
    <row r="279" spans="21:26">
      <c r="U279" t="s">
        <v>390</v>
      </c>
      <c r="V279" s="1">
        <v>47868.98</v>
      </c>
      <c r="W279" s="24">
        <f t="shared" si="12"/>
        <v>1.9062646758153612E-2</v>
      </c>
      <c r="X279" s="1">
        <v>527.5</v>
      </c>
      <c r="Y279" s="24">
        <f t="shared" si="13"/>
        <v>2.7163859409989444E-2</v>
      </c>
      <c r="Z279" s="32"/>
    </row>
    <row r="280" spans="21:26">
      <c r="U280" t="s">
        <v>391</v>
      </c>
      <c r="V280" s="1">
        <v>48782.51</v>
      </c>
      <c r="W280" s="24">
        <f t="shared" si="12"/>
        <v>1.9083966276281616E-2</v>
      </c>
      <c r="X280" s="1">
        <v>542.04999999999995</v>
      </c>
      <c r="Y280" s="24">
        <f t="shared" si="13"/>
        <v>2.7582938388625466E-2</v>
      </c>
      <c r="Z280" s="32"/>
    </row>
    <row r="281" spans="21:26">
      <c r="U281" t="s">
        <v>392</v>
      </c>
      <c r="V281" s="1">
        <v>49034.67</v>
      </c>
      <c r="W281" s="24">
        <f t="shared" si="12"/>
        <v>5.1690657163807607E-3</v>
      </c>
      <c r="X281" s="1">
        <v>543</v>
      </c>
      <c r="Y281" s="24">
        <f t="shared" si="13"/>
        <v>1.7526058481691642E-3</v>
      </c>
      <c r="Z281" s="32"/>
    </row>
    <row r="282" spans="21:26">
      <c r="U282" t="s">
        <v>393</v>
      </c>
      <c r="V282" s="1">
        <v>48878.54</v>
      </c>
      <c r="W282" s="24">
        <f t="shared" si="12"/>
        <v>-3.1840736360619903E-3</v>
      </c>
      <c r="X282" s="1">
        <v>533.79999999999995</v>
      </c>
      <c r="Y282" s="24">
        <f t="shared" si="13"/>
        <v>-1.6942909760589431E-2</v>
      </c>
      <c r="Z282" s="32"/>
    </row>
    <row r="283" spans="21:26">
      <c r="U283" t="s">
        <v>394</v>
      </c>
      <c r="V283" s="1">
        <v>46285.77</v>
      </c>
      <c r="W283" s="24">
        <f t="shared" si="12"/>
        <v>-5.304516051420527E-2</v>
      </c>
      <c r="X283" s="1">
        <v>537</v>
      </c>
      <c r="Y283" s="24">
        <f t="shared" si="13"/>
        <v>5.9947545897340859E-3</v>
      </c>
      <c r="Z283" s="32"/>
    </row>
    <row r="284" spans="21:26">
      <c r="U284" t="s">
        <v>395</v>
      </c>
      <c r="V284" s="1">
        <v>50731.63</v>
      </c>
      <c r="W284" s="24">
        <f t="shared" si="12"/>
        <v>9.6052415245549527E-2</v>
      </c>
      <c r="X284" s="1">
        <v>614.15</v>
      </c>
      <c r="Y284" s="24">
        <f t="shared" si="13"/>
        <v>0.14366852886405956</v>
      </c>
      <c r="Z284" s="32"/>
    </row>
    <row r="285" spans="21:26">
      <c r="U285" t="s">
        <v>396</v>
      </c>
      <c r="V285" s="1">
        <v>51544.3</v>
      </c>
      <c r="W285" s="24">
        <f t="shared" si="12"/>
        <v>1.6019000375111281E-2</v>
      </c>
      <c r="X285" s="1">
        <v>647.6</v>
      </c>
      <c r="Y285" s="24">
        <f t="shared" si="13"/>
        <v>5.4465521452413901E-2</v>
      </c>
      <c r="Z285" s="32"/>
    </row>
    <row r="286" spans="21:26">
      <c r="U286" t="s">
        <v>397</v>
      </c>
      <c r="V286" s="1">
        <v>50889.760000000002</v>
      </c>
      <c r="W286" s="24">
        <f t="shared" si="12"/>
        <v>-1.2698591308835327E-2</v>
      </c>
      <c r="X286" s="1">
        <v>624.04999999999995</v>
      </c>
      <c r="Y286" s="24">
        <f t="shared" si="13"/>
        <v>-3.6365040148239713E-2</v>
      </c>
      <c r="Z286" s="32"/>
    </row>
    <row r="287" spans="21:26">
      <c r="U287" t="s">
        <v>398</v>
      </c>
      <c r="V287" s="1">
        <v>49099.99</v>
      </c>
      <c r="W287" s="24">
        <f t="shared" si="12"/>
        <v>-3.5169550809435957E-2</v>
      </c>
      <c r="X287" s="1">
        <v>597.75</v>
      </c>
      <c r="Y287" s="24">
        <f t="shared" si="13"/>
        <v>-4.2144058969633802E-2</v>
      </c>
      <c r="Z287" s="32"/>
    </row>
    <row r="288" spans="21:26">
      <c r="U288" t="s">
        <v>399</v>
      </c>
      <c r="V288" s="1">
        <v>50405.32</v>
      </c>
      <c r="W288" s="24">
        <f t="shared" si="12"/>
        <v>2.6585137797380476E-2</v>
      </c>
      <c r="X288" s="1">
        <v>609.45000000000005</v>
      </c>
      <c r="Y288" s="24">
        <f t="shared" si="13"/>
        <v>1.957340025094112E-2</v>
      </c>
      <c r="Z288" s="32"/>
    </row>
    <row r="289" spans="21:26">
      <c r="U289" t="s">
        <v>400</v>
      </c>
      <c r="V289" s="1">
        <v>50792.08</v>
      </c>
      <c r="W289" s="24">
        <f t="shared" si="12"/>
        <v>7.6729995960744812E-3</v>
      </c>
      <c r="X289" s="1">
        <v>612.85</v>
      </c>
      <c r="Y289" s="24">
        <f t="shared" si="13"/>
        <v>5.5788005578800703E-3</v>
      </c>
      <c r="Z289" s="32"/>
    </row>
    <row r="290" spans="21:26">
      <c r="U290" t="s">
        <v>401</v>
      </c>
      <c r="V290" s="1">
        <v>49858.239999999998</v>
      </c>
      <c r="W290" s="24">
        <f t="shared" si="12"/>
        <v>-1.8385543572935092E-2</v>
      </c>
      <c r="X290" s="1">
        <v>586.65</v>
      </c>
      <c r="Y290" s="24">
        <f t="shared" si="13"/>
        <v>-4.2751081014930303E-2</v>
      </c>
      <c r="Z290" s="32"/>
    </row>
    <row r="291" spans="21:26">
      <c r="U291" t="s">
        <v>402</v>
      </c>
      <c r="V291" s="1">
        <v>49008.5</v>
      </c>
      <c r="W291" s="24">
        <f t="shared" si="12"/>
        <v>-1.704312065568292E-2</v>
      </c>
      <c r="X291" s="1">
        <v>578.54999999999995</v>
      </c>
      <c r="Y291" s="24">
        <f t="shared" si="13"/>
        <v>-1.3807210432114636E-2</v>
      </c>
      <c r="Z291" s="32"/>
    </row>
    <row r="292" spans="21:26">
      <c r="U292" t="s">
        <v>403</v>
      </c>
      <c r="V292" s="1">
        <v>50029.83</v>
      </c>
      <c r="W292" s="24">
        <f t="shared" si="12"/>
        <v>2.0839854310986894E-2</v>
      </c>
      <c r="X292" s="1">
        <v>594.4</v>
      </c>
      <c r="Y292" s="24">
        <f t="shared" si="13"/>
        <v>2.7396076397891322E-2</v>
      </c>
      <c r="Z292" s="32"/>
    </row>
    <row r="293" spans="21:26">
      <c r="U293" t="s">
        <v>404</v>
      </c>
      <c r="V293" s="1">
        <v>49591.32</v>
      </c>
      <c r="W293" s="24">
        <f t="shared" si="12"/>
        <v>-8.7649708184097674E-3</v>
      </c>
      <c r="X293" s="1">
        <v>566.20000000000005</v>
      </c>
      <c r="Y293" s="24">
        <f t="shared" si="13"/>
        <v>-4.7442799461641871E-2</v>
      </c>
      <c r="Z293" s="32"/>
    </row>
    <row r="294" spans="21:26">
      <c r="U294" t="s">
        <v>405</v>
      </c>
      <c r="V294" s="1">
        <v>48832.03</v>
      </c>
      <c r="W294" s="24">
        <f t="shared" si="12"/>
        <v>-1.5310945544502519E-2</v>
      </c>
      <c r="X294" s="1">
        <v>566.95000000000005</v>
      </c>
      <c r="Y294" s="24">
        <f t="shared" si="13"/>
        <v>1.324620275521049E-3</v>
      </c>
      <c r="Z294" s="32"/>
    </row>
    <row r="295" spans="21:26">
      <c r="U295" t="s">
        <v>406</v>
      </c>
      <c r="V295" s="1">
        <v>47878.45</v>
      </c>
      <c r="W295" s="24">
        <f t="shared" si="12"/>
        <v>-1.9527756679376229E-2</v>
      </c>
      <c r="X295" s="1">
        <v>569.95000000000005</v>
      </c>
      <c r="Y295" s="24">
        <f t="shared" si="13"/>
        <v>5.2914719111032404E-3</v>
      </c>
      <c r="Z295" s="32"/>
    </row>
    <row r="296" spans="21:26">
      <c r="U296" t="s">
        <v>407</v>
      </c>
      <c r="V296" s="1">
        <v>48782.36</v>
      </c>
      <c r="W296" s="24">
        <f t="shared" si="12"/>
        <v>1.8879266141656803E-2</v>
      </c>
      <c r="X296" s="1">
        <v>600.5</v>
      </c>
      <c r="Y296" s="24">
        <f t="shared" si="13"/>
        <v>5.3601193087112753E-2</v>
      </c>
      <c r="Z296" s="32"/>
    </row>
    <row r="297" spans="21:26">
      <c r="U297" t="s">
        <v>408</v>
      </c>
      <c r="V297" s="1">
        <v>49206.47</v>
      </c>
      <c r="W297" s="24">
        <f t="shared" si="12"/>
        <v>8.6939213272994031E-3</v>
      </c>
      <c r="X297" s="1">
        <v>607.1</v>
      </c>
      <c r="Y297" s="24">
        <f t="shared" si="13"/>
        <v>1.0990840965861892E-2</v>
      </c>
      <c r="Z297" s="32"/>
    </row>
    <row r="298" spans="21:26">
      <c r="U298" t="s">
        <v>409</v>
      </c>
      <c r="V298" s="1">
        <v>48732.55</v>
      </c>
      <c r="W298" s="24">
        <f t="shared" si="12"/>
        <v>-9.6312537761802375E-3</v>
      </c>
      <c r="X298" s="1">
        <v>597.29999999999995</v>
      </c>
      <c r="Y298" s="24">
        <f t="shared" si="13"/>
        <v>-1.6142315928183271E-2</v>
      </c>
      <c r="Z298" s="32"/>
    </row>
    <row r="299" spans="21:26">
      <c r="U299" t="s">
        <v>410</v>
      </c>
      <c r="V299" s="1">
        <v>50540.480000000003</v>
      </c>
      <c r="W299" s="24">
        <f t="shared" si="12"/>
        <v>3.7099023137512788E-2</v>
      </c>
      <c r="X299" s="1">
        <v>642.45000000000005</v>
      </c>
      <c r="Y299" s="24">
        <f t="shared" si="13"/>
        <v>7.5590155700653083E-2</v>
      </c>
      <c r="Z299" s="32"/>
    </row>
    <row r="300" spans="21:26">
      <c r="U300" t="s">
        <v>411</v>
      </c>
      <c r="V300" s="1">
        <v>51422.879999999997</v>
      </c>
      <c r="W300" s="24">
        <f t="shared" si="12"/>
        <v>1.7459272250679003E-2</v>
      </c>
      <c r="X300" s="1">
        <v>643.04999999999995</v>
      </c>
      <c r="Y300" s="24">
        <f t="shared" si="13"/>
        <v>9.3392481905185676E-4</v>
      </c>
      <c r="Z300" s="32"/>
    </row>
    <row r="301" spans="21:26">
      <c r="U301" t="s">
        <v>412</v>
      </c>
      <c r="V301" s="1">
        <v>52100.05</v>
      </c>
      <c r="W301" s="24">
        <f t="shared" si="12"/>
        <v>1.3168651775240958E-2</v>
      </c>
      <c r="X301" s="1">
        <v>642.70000000000005</v>
      </c>
      <c r="Y301" s="24">
        <f t="shared" si="13"/>
        <v>-5.4428116009630489E-4</v>
      </c>
      <c r="Z301" s="32"/>
    </row>
    <row r="302" spans="21:26">
      <c r="U302" t="s">
        <v>413</v>
      </c>
      <c r="V302" s="1">
        <v>52474.76</v>
      </c>
      <c r="W302" s="24">
        <f t="shared" si="12"/>
        <v>7.1921236160041868E-3</v>
      </c>
      <c r="X302" s="1">
        <v>635.70000000000005</v>
      </c>
      <c r="Y302" s="24">
        <f t="shared" si="13"/>
        <v>-1.0891551268087718E-2</v>
      </c>
      <c r="Z302" s="32"/>
    </row>
    <row r="303" spans="21:26">
      <c r="U303" t="s">
        <v>414</v>
      </c>
      <c r="V303" s="1">
        <v>52344.45</v>
      </c>
      <c r="W303" s="24">
        <f t="shared" si="12"/>
        <v>-2.4832891088973907E-3</v>
      </c>
      <c r="X303" s="1">
        <v>630.4</v>
      </c>
      <c r="Y303" s="24">
        <f t="shared" si="13"/>
        <v>-8.3372660059777282E-3</v>
      </c>
      <c r="Z303" s="32"/>
    </row>
    <row r="304" spans="21:26">
      <c r="U304" t="s">
        <v>415</v>
      </c>
      <c r="V304" s="1">
        <v>52925.04</v>
      </c>
      <c r="W304" s="24">
        <f t="shared" si="12"/>
        <v>1.1091720325650645E-2</v>
      </c>
      <c r="X304" s="1">
        <v>649</v>
      </c>
      <c r="Y304" s="24">
        <f t="shared" si="13"/>
        <v>2.9505076142132047E-2</v>
      </c>
      <c r="Z304" s="32"/>
    </row>
    <row r="305" spans="21:26">
      <c r="U305" t="s">
        <v>416</v>
      </c>
      <c r="V305" s="1">
        <v>52484.67</v>
      </c>
      <c r="W305" s="24">
        <f t="shared" si="12"/>
        <v>-8.3206361298924225E-3</v>
      </c>
      <c r="X305" s="1">
        <v>640.25</v>
      </c>
      <c r="Y305" s="24">
        <f t="shared" si="13"/>
        <v>-1.3482280431432958E-2</v>
      </c>
      <c r="Z305" s="32"/>
    </row>
    <row r="306" spans="21:26">
      <c r="U306" t="s">
        <v>417</v>
      </c>
      <c r="V306" s="1">
        <v>52386.19</v>
      </c>
      <c r="W306" s="24">
        <f t="shared" si="12"/>
        <v>-1.8763574201761113E-3</v>
      </c>
      <c r="X306" s="1">
        <v>638.54999999999995</v>
      </c>
      <c r="Y306" s="24">
        <f t="shared" si="13"/>
        <v>-2.6552128074971426E-3</v>
      </c>
      <c r="Z306" s="32"/>
    </row>
    <row r="307" spans="21:26">
      <c r="U307" t="s">
        <v>418</v>
      </c>
      <c r="V307" s="1">
        <v>53140.06</v>
      </c>
      <c r="W307" s="24">
        <f t="shared" si="12"/>
        <v>1.439062470471697E-2</v>
      </c>
      <c r="X307" s="1">
        <v>660.3</v>
      </c>
      <c r="Y307" s="24">
        <f t="shared" si="13"/>
        <v>3.4061545689452633E-2</v>
      </c>
      <c r="Z307" s="32"/>
    </row>
    <row r="308" spans="21:26">
      <c r="U308" t="s">
        <v>419</v>
      </c>
      <c r="V308" s="1">
        <v>52975.8</v>
      </c>
      <c r="W308" s="24">
        <f t="shared" si="12"/>
        <v>-3.0910766754872476E-3</v>
      </c>
      <c r="X308" s="1">
        <v>676.65</v>
      </c>
      <c r="Y308" s="24">
        <f t="shared" si="13"/>
        <v>2.4761472058155487E-2</v>
      </c>
      <c r="Z308" s="32"/>
    </row>
    <row r="309" spans="21:26">
      <c r="U309" t="s">
        <v>420</v>
      </c>
      <c r="V309" s="1">
        <v>52586.84</v>
      </c>
      <c r="W309" s="24">
        <f t="shared" si="12"/>
        <v>-7.3422204100741517E-3</v>
      </c>
      <c r="X309" s="1">
        <v>682.5</v>
      </c>
      <c r="Y309" s="24">
        <f t="shared" si="13"/>
        <v>8.6455331412103043E-3</v>
      </c>
      <c r="Z309" s="32"/>
    </row>
    <row r="310" spans="21:26">
      <c r="U310" t="s">
        <v>421</v>
      </c>
      <c r="V310" s="1">
        <v>54277.72</v>
      </c>
      <c r="W310" s="24">
        <f t="shared" si="12"/>
        <v>3.2154052230558117E-2</v>
      </c>
      <c r="X310" s="1">
        <v>697.65</v>
      </c>
      <c r="Y310" s="24">
        <f t="shared" si="13"/>
        <v>2.2197802197802208E-2</v>
      </c>
      <c r="Z310" s="32"/>
    </row>
    <row r="311" spans="21:26">
      <c r="U311" t="s">
        <v>422</v>
      </c>
      <c r="V311" s="1">
        <v>55437.29</v>
      </c>
      <c r="W311" s="24">
        <f t="shared" si="12"/>
        <v>2.1363646077985576E-2</v>
      </c>
      <c r="X311" s="1">
        <v>704.8</v>
      </c>
      <c r="Y311" s="24">
        <f t="shared" si="13"/>
        <v>1.024869203755463E-2</v>
      </c>
      <c r="Z311" s="32"/>
    </row>
    <row r="312" spans="21:26">
      <c r="U312" t="s">
        <v>423</v>
      </c>
      <c r="V312" s="1">
        <v>55329.32</v>
      </c>
      <c r="W312" s="24">
        <f t="shared" si="12"/>
        <v>-1.9476060247534122E-3</v>
      </c>
      <c r="X312" s="1">
        <v>680.7</v>
      </c>
      <c r="Y312" s="24">
        <f t="shared" si="13"/>
        <v>-3.4194097616344954E-2</v>
      </c>
      <c r="Z312" s="32"/>
    </row>
    <row r="313" spans="21:26">
      <c r="U313" t="s">
        <v>424</v>
      </c>
      <c r="V313" s="1">
        <v>56124.72</v>
      </c>
      <c r="W313" s="24">
        <f t="shared" si="12"/>
        <v>1.437574146944165E-2</v>
      </c>
      <c r="X313" s="1">
        <v>699.75</v>
      </c>
      <c r="Y313" s="24">
        <f t="shared" si="13"/>
        <v>2.7985896870868165E-2</v>
      </c>
      <c r="Z313" s="32"/>
    </row>
    <row r="314" spans="21:26">
      <c r="U314" t="s">
        <v>425</v>
      </c>
      <c r="V314" s="1">
        <v>58129.95</v>
      </c>
      <c r="W314" s="24">
        <f t="shared" si="12"/>
        <v>3.5728106973183849E-2</v>
      </c>
      <c r="X314" s="1">
        <v>724.3</v>
      </c>
      <c r="Y314" s="24">
        <f t="shared" si="13"/>
        <v>3.5083958556627381E-2</v>
      </c>
      <c r="Z314" s="32"/>
    </row>
    <row r="315" spans="21:26">
      <c r="U315" t="s">
        <v>426</v>
      </c>
      <c r="V315" s="1">
        <v>58305.07</v>
      </c>
      <c r="W315" s="24">
        <f t="shared" si="12"/>
        <v>3.0125606507489522E-3</v>
      </c>
      <c r="X315" s="1">
        <v>720.25</v>
      </c>
      <c r="Y315" s="24">
        <f t="shared" si="13"/>
        <v>-5.5916056882506782E-3</v>
      </c>
      <c r="Z315" s="32"/>
    </row>
    <row r="316" spans="21:26">
      <c r="U316" t="s">
        <v>427</v>
      </c>
      <c r="V316" s="1">
        <v>59015.89</v>
      </c>
      <c r="W316" s="24">
        <f t="shared" si="12"/>
        <v>1.2191392618172037E-2</v>
      </c>
      <c r="X316" s="1">
        <v>720.15</v>
      </c>
      <c r="Y316" s="24">
        <f t="shared" si="13"/>
        <v>-1.3884068031932983E-4</v>
      </c>
      <c r="Z316" s="32"/>
    </row>
    <row r="317" spans="21:26">
      <c r="U317" t="s">
        <v>428</v>
      </c>
      <c r="V317" s="1">
        <v>60048.47</v>
      </c>
      <c r="W317" s="24">
        <f t="shared" si="12"/>
        <v>1.7496643700535497E-2</v>
      </c>
      <c r="X317" s="1">
        <v>722.95</v>
      </c>
      <c r="Y317" s="24">
        <f t="shared" si="13"/>
        <v>3.8880788724571236E-3</v>
      </c>
      <c r="Z317" s="32"/>
    </row>
    <row r="318" spans="21:26">
      <c r="U318" t="s">
        <v>429</v>
      </c>
      <c r="V318" s="1">
        <v>58765.58</v>
      </c>
      <c r="W318" s="24">
        <f t="shared" si="12"/>
        <v>-2.1364241253773786E-2</v>
      </c>
      <c r="X318" s="1">
        <v>692.35</v>
      </c>
      <c r="Y318" s="24">
        <f t="shared" si="13"/>
        <v>-4.2326578601563081E-2</v>
      </c>
      <c r="Z318" s="32"/>
    </row>
    <row r="319" spans="21:26">
      <c r="U319" t="s">
        <v>430</v>
      </c>
      <c r="V319" s="1">
        <v>60059.06</v>
      </c>
      <c r="W319" s="24">
        <f t="shared" si="12"/>
        <v>2.2010843762624299E-2</v>
      </c>
      <c r="X319" s="1">
        <v>703.4</v>
      </c>
      <c r="Y319" s="24">
        <f t="shared" si="13"/>
        <v>1.5960135769480743E-2</v>
      </c>
      <c r="Z319" s="32"/>
    </row>
    <row r="320" spans="21:26">
      <c r="U320" t="s">
        <v>431</v>
      </c>
      <c r="V320" s="1">
        <v>61305.95</v>
      </c>
      <c r="W320" s="24">
        <f t="shared" si="12"/>
        <v>2.0761064192479806E-2</v>
      </c>
      <c r="X320" s="1">
        <v>727.3</v>
      </c>
      <c r="Y320" s="24">
        <f t="shared" si="13"/>
        <v>3.3977822007392744E-2</v>
      </c>
      <c r="Z320" s="32"/>
    </row>
    <row r="321" spans="21:26">
      <c r="U321" t="s">
        <v>432</v>
      </c>
      <c r="V321" s="1">
        <v>60821.62</v>
      </c>
      <c r="W321" s="24">
        <f t="shared" si="12"/>
        <v>-7.9002119696374162E-3</v>
      </c>
      <c r="X321" s="1">
        <v>759.3</v>
      </c>
      <c r="Y321" s="24">
        <f t="shared" si="13"/>
        <v>4.3998350061872582E-2</v>
      </c>
      <c r="Z321" s="32"/>
    </row>
    <row r="322" spans="21:26">
      <c r="U322" t="s">
        <v>433</v>
      </c>
      <c r="V322" s="1">
        <v>59306.93</v>
      </c>
      <c r="W322" s="24">
        <f t="shared" si="12"/>
        <v>-2.490380887585697E-2</v>
      </c>
      <c r="X322" s="1">
        <v>802.05</v>
      </c>
      <c r="Y322" s="24">
        <f t="shared" si="13"/>
        <v>5.6301856973528297E-2</v>
      </c>
      <c r="Z322" s="32"/>
    </row>
    <row r="323" spans="21:26">
      <c r="U323" t="s">
        <v>434</v>
      </c>
      <c r="V323" s="1">
        <v>60067.62</v>
      </c>
      <c r="W323" s="24">
        <f t="shared" si="12"/>
        <v>1.2826325692461227E-2</v>
      </c>
      <c r="X323" s="1">
        <v>782.1</v>
      </c>
      <c r="Y323" s="24">
        <f t="shared" si="13"/>
        <v>-2.4873760987469518E-2</v>
      </c>
      <c r="Z323" s="32"/>
    </row>
    <row r="324" spans="21:26">
      <c r="U324" t="s">
        <v>435</v>
      </c>
      <c r="V324" s="1">
        <v>60686.69</v>
      </c>
      <c r="W324" s="24">
        <f t="shared" si="12"/>
        <v>1.0306218225393238E-2</v>
      </c>
      <c r="X324" s="1">
        <v>776.6</v>
      </c>
      <c r="Y324" s="24">
        <f t="shared" si="13"/>
        <v>-7.0323488045006544E-3</v>
      </c>
      <c r="Z324" s="32"/>
    </row>
    <row r="325" spans="21:26">
      <c r="U325" t="s">
        <v>436</v>
      </c>
      <c r="V325" s="1">
        <v>59636.01</v>
      </c>
      <c r="W325" s="24">
        <f t="shared" si="12"/>
        <v>-1.7313186795984481E-2</v>
      </c>
      <c r="X325" s="1">
        <v>762.9</v>
      </c>
      <c r="Y325" s="24">
        <f t="shared" si="13"/>
        <v>-1.7640999227401588E-2</v>
      </c>
      <c r="Z325" s="32"/>
    </row>
    <row r="326" spans="21:26">
      <c r="U326" t="s">
        <v>437</v>
      </c>
      <c r="V326" s="1">
        <v>57107.15</v>
      </c>
      <c r="W326" s="24">
        <f t="shared" si="12"/>
        <v>-4.240491609012742E-2</v>
      </c>
      <c r="X326" s="1">
        <v>722.2</v>
      </c>
      <c r="Y326" s="24">
        <f t="shared" si="13"/>
        <v>-5.3349062786734791E-2</v>
      </c>
      <c r="Z326" s="32"/>
    </row>
    <row r="327" spans="21:26">
      <c r="U327" t="s">
        <v>438</v>
      </c>
      <c r="V327" s="1">
        <v>57696.46</v>
      </c>
      <c r="W327" s="24">
        <f t="shared" si="12"/>
        <v>1.0319373318402381E-2</v>
      </c>
      <c r="X327" s="1">
        <v>716.3</v>
      </c>
      <c r="Y327" s="24">
        <f t="shared" si="13"/>
        <v>-8.1694821379120208E-3</v>
      </c>
      <c r="Z327" s="32"/>
    </row>
    <row r="328" spans="21:26">
      <c r="U328" t="s">
        <v>439</v>
      </c>
      <c r="V328" s="1">
        <v>58786.67</v>
      </c>
      <c r="W328" s="24">
        <f t="shared" si="12"/>
        <v>1.8895613353054896E-2</v>
      </c>
      <c r="X328" s="1">
        <v>758</v>
      </c>
      <c r="Y328" s="24">
        <f t="shared" si="13"/>
        <v>5.8215831355577397E-2</v>
      </c>
      <c r="Z328" s="32"/>
    </row>
    <row r="329" spans="21:26">
      <c r="U329" t="s">
        <v>440</v>
      </c>
      <c r="V329" s="1">
        <v>57011.74</v>
      </c>
      <c r="W329" s="24">
        <f t="shared" si="12"/>
        <v>-3.0192729065960044E-2</v>
      </c>
      <c r="X329" s="1">
        <v>728.3</v>
      </c>
      <c r="Y329" s="24">
        <f t="shared" si="13"/>
        <v>-3.9182058047493418E-2</v>
      </c>
      <c r="Z329" s="32"/>
    </row>
    <row r="330" spans="21:26">
      <c r="U330" t="s">
        <v>441</v>
      </c>
      <c r="V330" s="1">
        <v>57124.31</v>
      </c>
      <c r="W330" s="24">
        <f t="shared" si="12"/>
        <v>1.9745056018287688E-3</v>
      </c>
      <c r="X330" s="1">
        <v>727.1</v>
      </c>
      <c r="Y330" s="24">
        <f t="shared" si="13"/>
        <v>-1.647672662364319E-3</v>
      </c>
      <c r="Z330" s="32"/>
    </row>
    <row r="331" spans="21:26">
      <c r="U331" t="s">
        <v>442</v>
      </c>
      <c r="V331" s="1">
        <v>58253.82</v>
      </c>
      <c r="W331" s="24">
        <f t="shared" ref="W331:W394" si="14">V331/V330-1</f>
        <v>1.9772842770442223E-2</v>
      </c>
      <c r="X331" s="1">
        <v>740.15</v>
      </c>
      <c r="Y331" s="24">
        <f t="shared" ref="Y331:Y394" si="15">X331/X330-1</f>
        <v>1.7948012653004941E-2</v>
      </c>
      <c r="Z331" s="32"/>
    </row>
    <row r="332" spans="21:26">
      <c r="U332" t="s">
        <v>443</v>
      </c>
      <c r="V332" s="1">
        <v>59744.65</v>
      </c>
      <c r="W332" s="24">
        <f t="shared" si="14"/>
        <v>2.5591969762669642E-2</v>
      </c>
      <c r="X332" s="1">
        <v>793.25</v>
      </c>
      <c r="Y332" s="24">
        <f t="shared" si="15"/>
        <v>7.1742214415996708E-2</v>
      </c>
      <c r="Z332" s="32"/>
    </row>
    <row r="333" spans="21:26">
      <c r="U333" t="s">
        <v>444</v>
      </c>
      <c r="V333" s="1">
        <v>61223.03</v>
      </c>
      <c r="W333" s="24">
        <f t="shared" si="14"/>
        <v>2.4744977165319426E-2</v>
      </c>
      <c r="X333" s="1">
        <v>820</v>
      </c>
      <c r="Y333" s="24">
        <f t="shared" si="15"/>
        <v>3.3722029624960514E-2</v>
      </c>
      <c r="Z333" s="32"/>
    </row>
    <row r="334" spans="21:26">
      <c r="U334" t="s">
        <v>445</v>
      </c>
      <c r="V334" s="1">
        <v>59037.18</v>
      </c>
      <c r="W334" s="24">
        <f t="shared" si="14"/>
        <v>-3.5703067946816769E-2</v>
      </c>
      <c r="X334" s="1">
        <v>804.5</v>
      </c>
      <c r="Y334" s="24">
        <f t="shared" si="15"/>
        <v>-1.8902439024390261E-2</v>
      </c>
      <c r="Z334" s="32"/>
    </row>
    <row r="335" spans="21:26">
      <c r="U335" t="s">
        <v>446</v>
      </c>
      <c r="V335" s="1">
        <v>57200.23</v>
      </c>
      <c r="W335" s="24">
        <f t="shared" si="14"/>
        <v>-3.1115137952049787E-2</v>
      </c>
      <c r="X335" s="1">
        <v>781.15</v>
      </c>
      <c r="Y335" s="24">
        <f t="shared" si="15"/>
        <v>-2.9024238657551327E-2</v>
      </c>
      <c r="Z335" s="32"/>
    </row>
    <row r="336" spans="21:26">
      <c r="U336" t="s">
        <v>447</v>
      </c>
      <c r="V336" s="1">
        <v>58644.82</v>
      </c>
      <c r="W336" s="24">
        <f t="shared" si="14"/>
        <v>2.5254968380371778E-2</v>
      </c>
      <c r="X336" s="1">
        <v>805.05</v>
      </c>
      <c r="Y336" s="24">
        <f t="shared" si="15"/>
        <v>3.059591627728353E-2</v>
      </c>
      <c r="Z336" s="32"/>
    </row>
    <row r="337" spans="21:26">
      <c r="U337" t="s">
        <v>448</v>
      </c>
      <c r="V337" s="1">
        <v>58152.92</v>
      </c>
      <c r="W337" s="24">
        <f t="shared" si="14"/>
        <v>-8.3877825867655353E-3</v>
      </c>
      <c r="X337" s="1">
        <v>790.8</v>
      </c>
      <c r="Y337" s="24">
        <f t="shared" si="15"/>
        <v>-1.7700763927706364E-2</v>
      </c>
      <c r="Z337" s="32"/>
    </row>
    <row r="338" spans="21:26">
      <c r="U338" t="s">
        <v>449</v>
      </c>
      <c r="V338" s="1">
        <v>57832.97</v>
      </c>
      <c r="W338" s="24">
        <f t="shared" si="14"/>
        <v>-5.5018733367129258E-3</v>
      </c>
      <c r="X338" s="1">
        <v>748.9</v>
      </c>
      <c r="Y338" s="24">
        <f t="shared" si="15"/>
        <v>-5.2984319676277147E-2</v>
      </c>
      <c r="Z338" s="32"/>
    </row>
    <row r="339" spans="21:26">
      <c r="U339" t="s">
        <v>450</v>
      </c>
      <c r="V339" s="1">
        <v>55858.52</v>
      </c>
      <c r="W339" s="24">
        <f t="shared" si="14"/>
        <v>-3.4140560306690215E-2</v>
      </c>
      <c r="X339" s="1">
        <v>730.05</v>
      </c>
      <c r="Y339" s="24">
        <f t="shared" si="15"/>
        <v>-2.5170249699559388E-2</v>
      </c>
      <c r="Z339" s="32"/>
    </row>
    <row r="340" spans="21:26">
      <c r="U340" t="s">
        <v>451</v>
      </c>
      <c r="V340" s="1">
        <v>54333.81</v>
      </c>
      <c r="W340" s="24">
        <f t="shared" si="14"/>
        <v>-2.7295925491760187E-2</v>
      </c>
      <c r="X340" s="1">
        <v>688.05</v>
      </c>
      <c r="Y340" s="24">
        <f t="shared" si="15"/>
        <v>-5.7530306143414811E-2</v>
      </c>
      <c r="Z340" s="32"/>
    </row>
    <row r="341" spans="21:26">
      <c r="U341" t="s">
        <v>452</v>
      </c>
      <c r="V341" s="1">
        <v>55550.3</v>
      </c>
      <c r="W341" s="24">
        <f t="shared" si="14"/>
        <v>2.238919008256568E-2</v>
      </c>
      <c r="X341" s="1">
        <v>677.9</v>
      </c>
      <c r="Y341" s="24">
        <f t="shared" si="15"/>
        <v>-1.475183489571974E-2</v>
      </c>
      <c r="Z341" s="32"/>
    </row>
    <row r="342" spans="21:26">
      <c r="U342" t="s">
        <v>453</v>
      </c>
      <c r="V342" s="1">
        <v>57863.93</v>
      </c>
      <c r="W342" s="24">
        <f t="shared" si="14"/>
        <v>4.1649280021889945E-2</v>
      </c>
      <c r="X342" s="1">
        <v>720.1</v>
      </c>
      <c r="Y342" s="24">
        <f t="shared" si="15"/>
        <v>6.225106947927439E-2</v>
      </c>
      <c r="Z342" s="32"/>
    </row>
    <row r="343" spans="21:26">
      <c r="U343" t="s">
        <v>454</v>
      </c>
      <c r="V343" s="1">
        <v>57362.2</v>
      </c>
      <c r="W343" s="24">
        <f t="shared" si="14"/>
        <v>-8.6708593764717179E-3</v>
      </c>
      <c r="X343" s="1">
        <v>699.25</v>
      </c>
      <c r="Y343" s="24">
        <f t="shared" si="15"/>
        <v>-2.8954311901124852E-2</v>
      </c>
      <c r="Z343" s="32"/>
    </row>
    <row r="344" spans="21:26">
      <c r="U344" t="s">
        <v>455</v>
      </c>
      <c r="V344" s="1">
        <v>59276.69</v>
      </c>
      <c r="W344" s="24">
        <f t="shared" si="14"/>
        <v>3.3375463284183837E-2</v>
      </c>
      <c r="X344" s="1">
        <v>736.25</v>
      </c>
      <c r="Y344" s="24">
        <f t="shared" si="15"/>
        <v>5.2913836253128288E-2</v>
      </c>
      <c r="Z344" s="32"/>
    </row>
    <row r="345" spans="21:26">
      <c r="U345" t="s">
        <v>456</v>
      </c>
      <c r="V345" s="1">
        <v>59447.18</v>
      </c>
      <c r="W345" s="24">
        <f t="shared" si="14"/>
        <v>2.8761727417641048E-3</v>
      </c>
      <c r="X345" s="1">
        <v>754.3</v>
      </c>
      <c r="Y345" s="24">
        <f t="shared" si="15"/>
        <v>2.4516129032257972E-2</v>
      </c>
      <c r="Z345" s="32"/>
    </row>
    <row r="346" spans="21:26">
      <c r="U346" t="s">
        <v>457</v>
      </c>
      <c r="V346" s="1">
        <v>58338.93</v>
      </c>
      <c r="W346" s="24">
        <f t="shared" si="14"/>
        <v>-1.8642600035863821E-2</v>
      </c>
      <c r="X346" s="1">
        <v>762.25</v>
      </c>
      <c r="Y346" s="24">
        <f t="shared" si="15"/>
        <v>1.0539573114145551E-2</v>
      </c>
      <c r="Z346" s="32"/>
    </row>
    <row r="347" spans="21:26">
      <c r="U347" t="s">
        <v>458</v>
      </c>
      <c r="V347" s="1">
        <v>57197.15</v>
      </c>
      <c r="W347" s="24">
        <f t="shared" si="14"/>
        <v>-1.9571493683548824E-2</v>
      </c>
      <c r="X347" s="1">
        <v>747.65</v>
      </c>
      <c r="Y347" s="24">
        <f t="shared" si="15"/>
        <v>-1.9153820924893483E-2</v>
      </c>
      <c r="Z347" s="32"/>
    </row>
    <row r="348" spans="21:26">
      <c r="U348" t="s">
        <v>459</v>
      </c>
      <c r="V348" s="1">
        <v>57060.87</v>
      </c>
      <c r="W348" s="24">
        <f t="shared" si="14"/>
        <v>-2.3826361977825616E-3</v>
      </c>
      <c r="X348" s="1">
        <v>743.3</v>
      </c>
      <c r="Y348" s="24">
        <f t="shared" si="15"/>
        <v>-5.8182304554270647E-3</v>
      </c>
      <c r="Z348" s="32"/>
    </row>
    <row r="349" spans="21:26">
      <c r="U349" t="s">
        <v>460</v>
      </c>
      <c r="V349" s="1">
        <v>54835.58</v>
      </c>
      <c r="W349" s="24">
        <f t="shared" si="14"/>
        <v>-3.8998529114610436E-2</v>
      </c>
      <c r="X349" s="1">
        <v>719.25</v>
      </c>
      <c r="Y349" s="24">
        <f t="shared" si="15"/>
        <v>-3.2355711018431266E-2</v>
      </c>
      <c r="Z349" s="32"/>
    </row>
    <row r="350" spans="21:26">
      <c r="U350" t="s">
        <v>461</v>
      </c>
      <c r="V350" s="1">
        <v>52793.62</v>
      </c>
      <c r="W350" s="24">
        <f t="shared" si="14"/>
        <v>-3.7237866363408534E-2</v>
      </c>
      <c r="X350" s="1">
        <v>677.35</v>
      </c>
      <c r="Y350" s="24">
        <f t="shared" si="15"/>
        <v>-5.8255126868265505E-2</v>
      </c>
      <c r="Z350" s="32"/>
    </row>
    <row r="351" spans="21:26">
      <c r="U351" t="s">
        <v>462</v>
      </c>
      <c r="V351" s="1">
        <v>54326.39</v>
      </c>
      <c r="W351" s="24">
        <f t="shared" si="14"/>
        <v>2.903324303201793E-2</v>
      </c>
      <c r="X351" s="1">
        <v>709.55</v>
      </c>
      <c r="Y351" s="24">
        <f t="shared" si="15"/>
        <v>4.7538200339558578E-2</v>
      </c>
      <c r="Z351" s="32"/>
    </row>
    <row r="352" spans="21:26">
      <c r="U352" t="s">
        <v>463</v>
      </c>
      <c r="V352" s="1">
        <v>54884.66</v>
      </c>
      <c r="W352" s="24">
        <f t="shared" si="14"/>
        <v>1.0276221188266099E-2</v>
      </c>
      <c r="X352" s="1">
        <v>739.8</v>
      </c>
      <c r="Y352" s="24">
        <f t="shared" si="15"/>
        <v>4.2632654499330513E-2</v>
      </c>
      <c r="Z352" s="32"/>
    </row>
    <row r="353" spans="21:26">
      <c r="U353" t="s">
        <v>464</v>
      </c>
      <c r="V353" s="1">
        <v>55769.23</v>
      </c>
      <c r="W353" s="24">
        <f t="shared" si="14"/>
        <v>1.6116889491526454E-2</v>
      </c>
      <c r="X353" s="1">
        <v>744.3</v>
      </c>
      <c r="Y353" s="24">
        <f t="shared" si="15"/>
        <v>6.0827250608272987E-3</v>
      </c>
      <c r="Z353" s="32"/>
    </row>
    <row r="354" spans="21:26">
      <c r="U354" t="s">
        <v>465</v>
      </c>
      <c r="V354" s="1">
        <v>54303.44</v>
      </c>
      <c r="W354" s="24">
        <f t="shared" si="14"/>
        <v>-2.6283131397008774E-2</v>
      </c>
      <c r="X354" s="1">
        <v>720</v>
      </c>
      <c r="Y354" s="24">
        <f t="shared" si="15"/>
        <v>-3.2648125755743607E-2</v>
      </c>
      <c r="Z354" s="32"/>
    </row>
    <row r="355" spans="21:26">
      <c r="U355" t="s">
        <v>466</v>
      </c>
      <c r="V355" s="1">
        <v>51360.42</v>
      </c>
      <c r="W355" s="24">
        <f t="shared" si="14"/>
        <v>-5.4195829951104502E-2</v>
      </c>
      <c r="X355" s="1">
        <v>686.85</v>
      </c>
      <c r="Y355" s="24">
        <f t="shared" si="15"/>
        <v>-4.6041666666666647E-2</v>
      </c>
      <c r="Z355" s="32"/>
    </row>
    <row r="356" spans="21:26">
      <c r="U356" t="s">
        <v>467</v>
      </c>
      <c r="V356" s="1">
        <v>52727.98</v>
      </c>
      <c r="W356" s="24">
        <f t="shared" si="14"/>
        <v>2.6626729298553364E-2</v>
      </c>
      <c r="X356" s="1">
        <v>713.45</v>
      </c>
      <c r="Y356" s="24">
        <f t="shared" si="15"/>
        <v>3.8727524204702712E-2</v>
      </c>
      <c r="Z356" s="32"/>
    </row>
    <row r="357" spans="21:26">
      <c r="U357" t="s">
        <v>468</v>
      </c>
      <c r="V357" s="1">
        <v>52907.93</v>
      </c>
      <c r="W357" s="24">
        <f t="shared" si="14"/>
        <v>3.4127990490058213E-3</v>
      </c>
      <c r="X357" s="1">
        <v>703.9</v>
      </c>
      <c r="Y357" s="24">
        <f t="shared" si="15"/>
        <v>-1.3385661223631717E-2</v>
      </c>
      <c r="Z357" s="32"/>
    </row>
    <row r="358" spans="21:26">
      <c r="U358" t="s">
        <v>469</v>
      </c>
      <c r="V358" s="1">
        <v>54481.84</v>
      </c>
      <c r="W358" s="24">
        <f t="shared" si="14"/>
        <v>2.974809258271871E-2</v>
      </c>
      <c r="X358" s="1">
        <v>755.7</v>
      </c>
      <c r="Y358" s="24">
        <f t="shared" si="15"/>
        <v>7.3589998579343785E-2</v>
      </c>
      <c r="Z358" s="32"/>
    </row>
    <row r="359" spans="21:26">
      <c r="U359" t="s">
        <v>470</v>
      </c>
      <c r="V359" s="1">
        <v>53760.78</v>
      </c>
      <c r="W359" s="24">
        <f t="shared" si="14"/>
        <v>-1.323486871955859E-2</v>
      </c>
      <c r="X359" s="1">
        <v>751.2</v>
      </c>
      <c r="Y359" s="24">
        <f t="shared" si="15"/>
        <v>-5.9547439460103657E-3</v>
      </c>
      <c r="Z359" s="32"/>
    </row>
    <row r="360" spans="21:26">
      <c r="U360" t="s">
        <v>471</v>
      </c>
      <c r="V360" s="1">
        <v>56072.23</v>
      </c>
      <c r="W360" s="24">
        <f t="shared" si="14"/>
        <v>4.299509791338596E-2</v>
      </c>
      <c r="X360" s="1">
        <v>800.05</v>
      </c>
      <c r="Y360" s="24">
        <f t="shared" si="15"/>
        <v>6.5029286474973302E-2</v>
      </c>
      <c r="Z360" s="32"/>
    </row>
    <row r="361" spans="21:26">
      <c r="U361" t="s">
        <v>472</v>
      </c>
      <c r="V361" s="1">
        <v>57570.25</v>
      </c>
      <c r="W361" s="24">
        <f t="shared" si="14"/>
        <v>2.6715898404611194E-2</v>
      </c>
      <c r="X361" s="1">
        <v>818.6</v>
      </c>
      <c r="Y361" s="24">
        <f t="shared" si="15"/>
        <v>2.3186050871820685E-2</v>
      </c>
      <c r="Z361" s="32"/>
    </row>
    <row r="362" spans="21:26">
      <c r="U362" t="s">
        <v>473</v>
      </c>
      <c r="V362" s="1">
        <v>58387.93</v>
      </c>
      <c r="W362" s="24">
        <f t="shared" si="14"/>
        <v>1.4203169171577379E-2</v>
      </c>
      <c r="X362" s="1">
        <v>838.2</v>
      </c>
      <c r="Y362" s="24">
        <f t="shared" si="15"/>
        <v>2.394331785976056E-2</v>
      </c>
      <c r="Z362" s="32"/>
    </row>
    <row r="363" spans="21:26">
      <c r="U363" t="s">
        <v>474</v>
      </c>
      <c r="V363" s="1">
        <v>59462.78</v>
      </c>
      <c r="W363" s="24">
        <f t="shared" si="14"/>
        <v>1.8408770442795319E-2</v>
      </c>
      <c r="X363" s="1">
        <v>874.4</v>
      </c>
      <c r="Y363" s="24">
        <f t="shared" si="15"/>
        <v>4.3187783345263631E-2</v>
      </c>
      <c r="Z363" s="32"/>
    </row>
    <row r="364" spans="21:26">
      <c r="U364" t="s">
        <v>475</v>
      </c>
      <c r="V364" s="1">
        <v>59646.15</v>
      </c>
      <c r="W364" s="24">
        <f t="shared" si="14"/>
        <v>3.0837777850278858E-3</v>
      </c>
      <c r="X364" s="1">
        <v>870.4</v>
      </c>
      <c r="Y364" s="24">
        <f t="shared" si="15"/>
        <v>-4.5745654162854255E-3</v>
      </c>
      <c r="Z364" s="32"/>
    </row>
    <row r="365" spans="21:26">
      <c r="U365" t="s">
        <v>476</v>
      </c>
      <c r="V365" s="1">
        <v>58833.87</v>
      </c>
      <c r="W365" s="24">
        <f t="shared" si="14"/>
        <v>-1.3618314006855425E-2</v>
      </c>
      <c r="X365" s="1">
        <v>870.85</v>
      </c>
      <c r="Y365" s="24">
        <f t="shared" si="15"/>
        <v>5.1700367647056211E-4</v>
      </c>
      <c r="Z365" s="32"/>
    </row>
    <row r="366" spans="21:26">
      <c r="U366" t="s">
        <v>477</v>
      </c>
      <c r="V366" s="1">
        <v>58803.33</v>
      </c>
      <c r="W366" s="24">
        <f t="shared" si="14"/>
        <v>-5.1908874938877414E-4</v>
      </c>
      <c r="X366" s="1">
        <v>872.4</v>
      </c>
      <c r="Y366" s="24">
        <f t="shared" si="15"/>
        <v>1.7798702417177736E-3</v>
      </c>
      <c r="Z366" s="32"/>
    </row>
    <row r="367" spans="21:26">
      <c r="U367" t="s">
        <v>478</v>
      </c>
      <c r="V367" s="1">
        <v>59793.14</v>
      </c>
      <c r="W367" s="24">
        <f t="shared" si="14"/>
        <v>1.683255012938889E-2</v>
      </c>
      <c r="X367" s="1">
        <v>901.25</v>
      </c>
      <c r="Y367" s="24">
        <f t="shared" si="15"/>
        <v>3.3069692801467321E-2</v>
      </c>
      <c r="Z367" s="32"/>
    </row>
    <row r="368" spans="21:26">
      <c r="U368" t="s">
        <v>479</v>
      </c>
      <c r="V368" s="1">
        <v>58840.79</v>
      </c>
      <c r="W368" s="24">
        <f t="shared" si="14"/>
        <v>-1.5927412408848207E-2</v>
      </c>
      <c r="X368" s="1">
        <v>909.1</v>
      </c>
      <c r="Y368" s="24">
        <f t="shared" si="15"/>
        <v>8.7101248266296949E-3</v>
      </c>
      <c r="Z368" s="32"/>
    </row>
    <row r="369" spans="21:26">
      <c r="U369" t="s">
        <v>480</v>
      </c>
      <c r="V369" s="1">
        <v>58098.92</v>
      </c>
      <c r="W369" s="24">
        <f t="shared" si="14"/>
        <v>-1.2608090408031569E-2</v>
      </c>
      <c r="X369" s="1">
        <v>882.25</v>
      </c>
      <c r="Y369" s="24">
        <f t="shared" si="15"/>
        <v>-2.9534704652953492E-2</v>
      </c>
      <c r="Z369" s="32"/>
    </row>
    <row r="370" spans="21:26">
      <c r="U370" t="s">
        <v>481</v>
      </c>
      <c r="V370" s="1">
        <v>57426.92</v>
      </c>
      <c r="W370" s="24">
        <f t="shared" si="14"/>
        <v>-1.1566480065378193E-2</v>
      </c>
      <c r="X370" s="1">
        <v>862</v>
      </c>
      <c r="Y370" s="24">
        <f t="shared" si="15"/>
        <v>-2.2952677812411393E-2</v>
      </c>
      <c r="Z370" s="32"/>
    </row>
    <row r="371" spans="21:26">
      <c r="U371" t="s">
        <v>482</v>
      </c>
      <c r="V371" s="1">
        <v>58191.29</v>
      </c>
      <c r="W371" s="24">
        <f t="shared" si="14"/>
        <v>1.3310308127268522E-2</v>
      </c>
      <c r="X371" s="1">
        <v>882.55</v>
      </c>
      <c r="Y371" s="24">
        <f t="shared" si="15"/>
        <v>2.3839907192575449E-2</v>
      </c>
      <c r="Z371" s="32"/>
    </row>
    <row r="372" spans="21:26">
      <c r="U372" t="s">
        <v>483</v>
      </c>
      <c r="V372" s="1">
        <v>57919.97</v>
      </c>
      <c r="W372" s="24">
        <f t="shared" si="14"/>
        <v>-4.6625534508686339E-3</v>
      </c>
      <c r="X372" s="1">
        <v>870.25</v>
      </c>
      <c r="Y372" s="24">
        <f t="shared" si="15"/>
        <v>-1.3936887428474209E-2</v>
      </c>
      <c r="Z372" s="32"/>
    </row>
    <row r="373" spans="21:26">
      <c r="U373" t="s">
        <v>484</v>
      </c>
      <c r="V373" s="1">
        <v>59307.15</v>
      </c>
      <c r="W373" s="24">
        <f t="shared" si="14"/>
        <v>2.3949943344238722E-2</v>
      </c>
      <c r="X373" s="1">
        <v>907.15</v>
      </c>
      <c r="Y373" s="24">
        <f t="shared" si="15"/>
        <v>4.2401608733122709E-2</v>
      </c>
      <c r="Z373" s="32"/>
    </row>
    <row r="374" spans="21:26">
      <c r="U374" t="s">
        <v>485</v>
      </c>
      <c r="V374" s="1">
        <v>59959.85</v>
      </c>
      <c r="W374" s="24">
        <f t="shared" si="14"/>
        <v>1.1005418402334266E-2</v>
      </c>
      <c r="X374" s="1">
        <v>907.85</v>
      </c>
      <c r="Y374" s="24">
        <f t="shared" si="15"/>
        <v>7.7164746734292855E-4</v>
      </c>
      <c r="Z374" s="32"/>
    </row>
    <row r="375" spans="21:26">
      <c r="U375" t="s">
        <v>486</v>
      </c>
      <c r="V375" s="1">
        <v>60950.36</v>
      </c>
      <c r="W375" s="24">
        <f t="shared" si="14"/>
        <v>1.6519554335109321E-2</v>
      </c>
      <c r="X375" s="1">
        <v>905.3</v>
      </c>
      <c r="Y375" s="24">
        <f t="shared" si="15"/>
        <v>-2.8088340584898619E-3</v>
      </c>
      <c r="Z375" s="32"/>
    </row>
    <row r="376" spans="21:26">
      <c r="U376" t="s">
        <v>487</v>
      </c>
      <c r="V376" s="1">
        <v>61795.040000000001</v>
      </c>
      <c r="W376" s="24">
        <f t="shared" si="14"/>
        <v>1.3858490745583874E-2</v>
      </c>
      <c r="X376" s="1">
        <v>906.55</v>
      </c>
      <c r="Y376" s="24">
        <f t="shared" si="15"/>
        <v>1.3807577598585752E-3</v>
      </c>
      <c r="Z376" s="32"/>
    </row>
    <row r="377" spans="21:26">
      <c r="U377" t="s">
        <v>488</v>
      </c>
      <c r="V377" s="1">
        <v>61663.48</v>
      </c>
      <c r="W377" s="24">
        <f t="shared" si="14"/>
        <v>-2.1289734580639541E-3</v>
      </c>
      <c r="X377" s="1">
        <v>920.35</v>
      </c>
      <c r="Y377" s="24">
        <f t="shared" si="15"/>
        <v>1.5222547018918009E-2</v>
      </c>
      <c r="Z377" s="32"/>
    </row>
    <row r="378" spans="21:26">
      <c r="U378" t="s">
        <v>489</v>
      </c>
      <c r="V378" s="1">
        <v>62293.64</v>
      </c>
      <c r="W378" s="24">
        <f t="shared" si="14"/>
        <v>1.021933890205351E-2</v>
      </c>
      <c r="X378" s="1">
        <v>930.3</v>
      </c>
      <c r="Y378" s="24">
        <f t="shared" si="15"/>
        <v>1.0811104471124988E-2</v>
      </c>
      <c r="Z378" s="32"/>
    </row>
    <row r="379" spans="21:26">
      <c r="U379" t="s">
        <v>490</v>
      </c>
      <c r="V379" s="1">
        <v>62868.5</v>
      </c>
      <c r="W379" s="24">
        <f t="shared" si="14"/>
        <v>9.2282293986993835E-3</v>
      </c>
      <c r="X379" s="1">
        <v>930.6</v>
      </c>
      <c r="Y379" s="24">
        <f t="shared" si="15"/>
        <v>3.2247662044504466E-4</v>
      </c>
      <c r="Z379" s="32"/>
    </row>
    <row r="380" spans="21:26">
      <c r="U380" t="s">
        <v>491</v>
      </c>
      <c r="V380" s="1">
        <v>62181.67</v>
      </c>
      <c r="W380" s="24">
        <f t="shared" si="14"/>
        <v>-1.0924866984260873E-2</v>
      </c>
      <c r="X380" s="1">
        <v>929.9</v>
      </c>
      <c r="Y380" s="24">
        <f t="shared" si="15"/>
        <v>-7.522028798625513E-4</v>
      </c>
      <c r="Z380" s="32"/>
    </row>
    <row r="381" spans="21:26">
      <c r="U381" t="s">
        <v>492</v>
      </c>
      <c r="V381" s="1">
        <v>61337.81</v>
      </c>
      <c r="W381" s="24">
        <f t="shared" si="14"/>
        <v>-1.3570880293179655E-2</v>
      </c>
      <c r="X381" s="1">
        <v>902</v>
      </c>
      <c r="Y381" s="24">
        <f t="shared" si="15"/>
        <v>-3.0003226153349827E-2</v>
      </c>
      <c r="Z381" s="32"/>
    </row>
    <row r="382" spans="21:26">
      <c r="U382" t="s">
        <v>493</v>
      </c>
      <c r="V382" s="1">
        <v>59845.29</v>
      </c>
      <c r="W382" s="24">
        <f t="shared" si="14"/>
        <v>-2.4332789188267312E-2</v>
      </c>
      <c r="X382" s="1">
        <v>878.9</v>
      </c>
      <c r="Y382" s="24">
        <f t="shared" si="15"/>
        <v>-2.5609756097560998E-2</v>
      </c>
      <c r="Z382" s="32"/>
    </row>
    <row r="383" spans="21:26">
      <c r="U383" t="s">
        <v>494</v>
      </c>
      <c r="V383" s="1">
        <v>60840.74</v>
      </c>
      <c r="W383" s="24">
        <f t="shared" si="14"/>
        <v>1.6633723389092081E-2</v>
      </c>
      <c r="X383" s="1">
        <v>890.85</v>
      </c>
      <c r="Y383" s="24">
        <f t="shared" si="15"/>
        <v>1.3596541130959316E-2</v>
      </c>
      <c r="Z383" s="32"/>
    </row>
    <row r="384" spans="21:26">
      <c r="U384" t="s">
        <v>495</v>
      </c>
      <c r="V384" s="1">
        <v>59900.37</v>
      </c>
      <c r="W384" s="24">
        <f t="shared" si="14"/>
        <v>-1.5456255134306263E-2</v>
      </c>
      <c r="X384" s="1">
        <v>870.1</v>
      </c>
      <c r="Y384" s="24">
        <f t="shared" si="15"/>
        <v>-2.3292361228040681E-2</v>
      </c>
      <c r="Z384" s="32"/>
    </row>
    <row r="385" spans="21:26">
      <c r="U385" t="s">
        <v>496</v>
      </c>
      <c r="V385" s="1">
        <v>60261.18</v>
      </c>
      <c r="W385" s="24">
        <f t="shared" si="14"/>
        <v>6.0235020251127036E-3</v>
      </c>
      <c r="X385" s="1">
        <v>873.45</v>
      </c>
      <c r="Y385" s="24">
        <f t="shared" si="15"/>
        <v>3.8501321687163248E-3</v>
      </c>
      <c r="Z385" s="32"/>
    </row>
    <row r="386" spans="21:26">
      <c r="U386" t="s">
        <v>497</v>
      </c>
      <c r="V386" s="1">
        <v>60621.77</v>
      </c>
      <c r="W386" s="24">
        <f t="shared" si="14"/>
        <v>5.9837859132529925E-3</v>
      </c>
      <c r="X386" s="1">
        <v>870.35</v>
      </c>
      <c r="Y386" s="24">
        <f t="shared" si="15"/>
        <v>-3.5491441982941074E-3</v>
      </c>
      <c r="Z386" s="32"/>
    </row>
    <row r="387" spans="21:26">
      <c r="U387" t="s">
        <v>498</v>
      </c>
      <c r="V387" s="1">
        <v>59330.9</v>
      </c>
      <c r="W387" s="24">
        <f t="shared" si="14"/>
        <v>-2.1293835531360994E-2</v>
      </c>
      <c r="X387" s="1">
        <v>817.2</v>
      </c>
      <c r="Y387" s="24">
        <f t="shared" si="15"/>
        <v>-6.1067386683518077E-2</v>
      </c>
      <c r="Z387" s="32"/>
    </row>
    <row r="388" spans="21:26">
      <c r="U388" t="s">
        <v>499</v>
      </c>
      <c r="V388" s="1">
        <v>60841.88</v>
      </c>
      <c r="W388" s="24">
        <f t="shared" si="14"/>
        <v>2.5466999489304865E-2</v>
      </c>
      <c r="X388" s="1">
        <v>863.8</v>
      </c>
      <c r="Y388" s="24">
        <f t="shared" si="15"/>
        <v>5.7023984336759481E-2</v>
      </c>
      <c r="Z388" s="32"/>
    </row>
    <row r="389" spans="21:26">
      <c r="U389" t="s">
        <v>500</v>
      </c>
      <c r="V389" s="1">
        <v>60682.7</v>
      </c>
      <c r="W389" s="24">
        <f t="shared" si="14"/>
        <v>-2.6162899634265546E-3</v>
      </c>
      <c r="X389" s="1">
        <v>853.85</v>
      </c>
      <c r="Y389" s="24">
        <f t="shared" si="15"/>
        <v>-1.1518870108821355E-2</v>
      </c>
      <c r="Z389" s="32"/>
    </row>
    <row r="390" spans="21:26">
      <c r="U390" t="s">
        <v>501</v>
      </c>
      <c r="V390" s="1">
        <v>61002.57</v>
      </c>
      <c r="W390" s="24">
        <f t="shared" si="14"/>
        <v>5.2711893175485525E-3</v>
      </c>
      <c r="X390" s="1">
        <v>862.65</v>
      </c>
      <c r="Y390" s="24">
        <f t="shared" si="15"/>
        <v>1.0306259881712299E-2</v>
      </c>
      <c r="Z390" s="32"/>
    </row>
    <row r="391" spans="21:26">
      <c r="U391" t="s">
        <v>502</v>
      </c>
      <c r="V391" s="1">
        <v>59463.93</v>
      </c>
      <c r="W391" s="24">
        <f t="shared" si="14"/>
        <v>-2.5222543902658545E-2</v>
      </c>
      <c r="X391" s="1">
        <v>839.7</v>
      </c>
      <c r="Y391" s="24">
        <f t="shared" si="15"/>
        <v>-2.6604068857589924E-2</v>
      </c>
      <c r="Z391" s="32"/>
    </row>
    <row r="392" spans="21:26">
      <c r="U392" t="s">
        <v>503</v>
      </c>
      <c r="V392" s="1">
        <v>59808.97</v>
      </c>
      <c r="W392" s="24">
        <f t="shared" si="14"/>
        <v>5.8025091849798205E-3</v>
      </c>
      <c r="X392" s="1">
        <v>868.55</v>
      </c>
      <c r="Y392" s="24">
        <f t="shared" si="15"/>
        <v>3.4357508634035749E-2</v>
      </c>
      <c r="Z392" s="32"/>
    </row>
    <row r="393" spans="21:26">
      <c r="U393" t="s">
        <v>504</v>
      </c>
      <c r="V393" s="1">
        <v>59135.13</v>
      </c>
      <c r="W393" s="24">
        <f t="shared" si="14"/>
        <v>-1.126653744413264E-2</v>
      </c>
      <c r="X393" s="1">
        <v>842.65</v>
      </c>
      <c r="Y393" s="24">
        <f t="shared" si="15"/>
        <v>-2.981981463358474E-2</v>
      </c>
      <c r="Z393" s="32"/>
    </row>
    <row r="394" spans="21:26">
      <c r="U394" t="s">
        <v>505</v>
      </c>
      <c r="V394" s="1">
        <v>57989.9</v>
      </c>
      <c r="W394" s="24">
        <f t="shared" si="14"/>
        <v>-1.9366322522669566E-2</v>
      </c>
      <c r="X394" s="1">
        <v>836.25</v>
      </c>
      <c r="Y394" s="24">
        <f t="shared" si="15"/>
        <v>-7.5950869281433686E-3</v>
      </c>
      <c r="Z394" s="32"/>
    </row>
    <row r="395" spans="21:26">
      <c r="U395" t="s">
        <v>506</v>
      </c>
      <c r="V395" s="1">
        <v>57527.1</v>
      </c>
      <c r="W395" s="24">
        <f t="shared" ref="W395:W458" si="16">V395/V394-1</f>
        <v>-7.9807000874290157E-3</v>
      </c>
      <c r="X395" s="1">
        <v>852.4</v>
      </c>
      <c r="Y395" s="24">
        <f t="shared" ref="Y395:Y458" si="17">X395/X394-1</f>
        <v>1.9312406576980523E-2</v>
      </c>
      <c r="Z395" s="32"/>
    </row>
    <row r="396" spans="21:26">
      <c r="U396" t="s">
        <v>507</v>
      </c>
      <c r="V396" s="1">
        <v>58991.519999999997</v>
      </c>
      <c r="W396" s="24">
        <f t="shared" si="16"/>
        <v>2.5456176306471123E-2</v>
      </c>
      <c r="X396" s="1">
        <v>877.25</v>
      </c>
      <c r="Y396" s="24">
        <f t="shared" si="17"/>
        <v>2.9152979821680081E-2</v>
      </c>
      <c r="Z396" s="32"/>
    </row>
    <row r="397" spans="21:26">
      <c r="U397" t="s">
        <v>508</v>
      </c>
      <c r="V397" s="1">
        <v>59832.97</v>
      </c>
      <c r="W397" s="24">
        <f t="shared" si="16"/>
        <v>1.4263914542293588E-2</v>
      </c>
      <c r="X397" s="1">
        <v>875</v>
      </c>
      <c r="Y397" s="24">
        <f t="shared" si="17"/>
        <v>-2.5648332858364542E-3</v>
      </c>
      <c r="Z397" s="32"/>
    </row>
    <row r="398" spans="21:26">
      <c r="U398" t="s">
        <v>509</v>
      </c>
      <c r="V398" s="1">
        <v>60431</v>
      </c>
      <c r="W398" s="24">
        <f t="shared" si="16"/>
        <v>9.9949910559344879E-3</v>
      </c>
      <c r="X398" s="1">
        <v>899</v>
      </c>
      <c r="Y398" s="24">
        <f t="shared" si="17"/>
        <v>2.7428571428571358E-2</v>
      </c>
      <c r="Z398" s="32"/>
    </row>
    <row r="399" spans="21:26">
      <c r="U399" t="s">
        <v>510</v>
      </c>
      <c r="V399" s="1">
        <v>59655.06</v>
      </c>
      <c r="W399" s="24">
        <f t="shared" si="16"/>
        <v>-1.2840098624878005E-2</v>
      </c>
      <c r="X399" s="1">
        <v>885.65</v>
      </c>
      <c r="Y399" s="24">
        <f t="shared" si="17"/>
        <v>-1.4849833147942193E-2</v>
      </c>
      <c r="Z399" s="32"/>
    </row>
    <row r="400" spans="21:26">
      <c r="U400" t="s">
        <v>511</v>
      </c>
      <c r="V400" s="1">
        <v>61112.44</v>
      </c>
      <c r="W400" s="24">
        <f t="shared" si="16"/>
        <v>2.4430115400101871E-2</v>
      </c>
      <c r="X400" s="1">
        <v>917.65</v>
      </c>
      <c r="Y400" s="24">
        <f t="shared" si="17"/>
        <v>3.6131654716874628E-2</v>
      </c>
      <c r="Z400" s="32"/>
    </row>
    <row r="401" spans="21:26">
      <c r="U401" t="s">
        <v>512</v>
      </c>
      <c r="V401" s="1">
        <v>61054.29</v>
      </c>
      <c r="W401" s="24">
        <f t="shared" si="16"/>
        <v>-9.515247632070345E-4</v>
      </c>
      <c r="X401" s="1">
        <v>926.95</v>
      </c>
      <c r="Y401" s="24">
        <f t="shared" si="17"/>
        <v>1.0134582901977884E-2</v>
      </c>
      <c r="Z401" s="32"/>
    </row>
    <row r="402" spans="21:26">
      <c r="U402" t="s">
        <v>513</v>
      </c>
      <c r="V402" s="1">
        <v>62027.9</v>
      </c>
      <c r="W402" s="24">
        <f t="shared" si="16"/>
        <v>1.5946627173946348E-2</v>
      </c>
      <c r="X402" s="1">
        <v>943.9</v>
      </c>
      <c r="Y402" s="24">
        <f t="shared" si="17"/>
        <v>1.8285775931819348E-2</v>
      </c>
      <c r="Z402" s="32"/>
    </row>
    <row r="403" spans="21:26">
      <c r="U403" t="s">
        <v>514</v>
      </c>
      <c r="V403" s="1">
        <v>61729.68</v>
      </c>
      <c r="W403" s="24">
        <f t="shared" si="16"/>
        <v>-4.8078364735869572E-3</v>
      </c>
      <c r="X403" s="1">
        <v>954.3</v>
      </c>
      <c r="Y403" s="24">
        <f t="shared" si="17"/>
        <v>1.101811632588201E-2</v>
      </c>
      <c r="Z403" s="32"/>
    </row>
    <row r="404" spans="21:26">
      <c r="U404" t="s">
        <v>515</v>
      </c>
      <c r="V404" s="1">
        <v>62501.69</v>
      </c>
      <c r="W404" s="24">
        <f t="shared" si="16"/>
        <v>1.2506301668824493E-2</v>
      </c>
      <c r="X404" s="1">
        <v>950.7</v>
      </c>
      <c r="Y404" s="24">
        <f t="shared" si="17"/>
        <v>-3.7723986167871315E-3</v>
      </c>
      <c r="Z404" s="32"/>
    </row>
    <row r="405" spans="21:26">
      <c r="U405" t="s">
        <v>516</v>
      </c>
      <c r="V405" s="1">
        <v>62547.11</v>
      </c>
      <c r="W405" s="24">
        <f t="shared" si="16"/>
        <v>7.267003500224245E-4</v>
      </c>
      <c r="X405" s="1">
        <v>938.15</v>
      </c>
      <c r="Y405" s="24">
        <f t="shared" si="17"/>
        <v>-1.3200799410960418E-2</v>
      </c>
      <c r="Z405" s="32"/>
    </row>
    <row r="406" spans="21:26">
      <c r="U406" t="s">
        <v>517</v>
      </c>
      <c r="V406" s="1">
        <v>62625.63</v>
      </c>
      <c r="W406" s="24">
        <f t="shared" si="16"/>
        <v>1.2553737494824802E-3</v>
      </c>
      <c r="X406" s="1">
        <v>938.05</v>
      </c>
      <c r="Y406" s="24">
        <f t="shared" si="17"/>
        <v>-1.0659276235147619E-4</v>
      </c>
      <c r="Z406" s="32"/>
    </row>
    <row r="407" spans="21:26">
      <c r="U407" t="s">
        <v>518</v>
      </c>
      <c r="V407" s="1">
        <v>63384.58</v>
      </c>
      <c r="W407" s="24">
        <f t="shared" si="16"/>
        <v>1.2118840161767785E-2</v>
      </c>
      <c r="X407" s="1">
        <v>934.2</v>
      </c>
      <c r="Y407" s="24">
        <f t="shared" si="17"/>
        <v>-4.1042588348167985E-3</v>
      </c>
      <c r="Z407" s="32"/>
    </row>
    <row r="408" spans="21:26">
      <c r="U408" t="s">
        <v>519</v>
      </c>
      <c r="V408" s="1">
        <v>62979.37</v>
      </c>
      <c r="W408" s="24">
        <f t="shared" si="16"/>
        <v>-6.3928797824328587E-3</v>
      </c>
      <c r="X408" s="1">
        <v>923.5</v>
      </c>
      <c r="Y408" s="24">
        <f t="shared" si="17"/>
        <v>-1.1453650181973973E-2</v>
      </c>
      <c r="Z408" s="32"/>
    </row>
    <row r="409" spans="21:26">
      <c r="U409" t="s">
        <v>520</v>
      </c>
      <c r="V409" s="1">
        <v>64718.559999999998</v>
      </c>
      <c r="W409" s="24">
        <f t="shared" si="16"/>
        <v>2.7615233369276293E-2</v>
      </c>
      <c r="X409" s="1">
        <v>934.6</v>
      </c>
      <c r="Y409" s="24">
        <f t="shared" si="17"/>
        <v>1.2019491066594501E-2</v>
      </c>
      <c r="Z409" s="32"/>
    </row>
    <row r="410" spans="21:26">
      <c r="U410" t="s">
        <v>521</v>
      </c>
      <c r="V410" s="1">
        <v>65280.45</v>
      </c>
      <c r="W410" s="24">
        <f t="shared" si="16"/>
        <v>8.6820534943916616E-3</v>
      </c>
      <c r="X410" s="1">
        <v>946.4</v>
      </c>
      <c r="Y410" s="24">
        <f t="shared" si="17"/>
        <v>1.2625722234110848E-2</v>
      </c>
      <c r="Z410" s="32"/>
    </row>
    <row r="411" spans="21:26">
      <c r="U411" t="s">
        <v>522</v>
      </c>
      <c r="V411" s="1">
        <v>66060.899999999994</v>
      </c>
      <c r="W411" s="24">
        <f t="shared" si="16"/>
        <v>1.1955340381385238E-2</v>
      </c>
      <c r="X411" s="1">
        <v>960.05</v>
      </c>
      <c r="Y411" s="24">
        <f t="shared" si="17"/>
        <v>1.4423076923076872E-2</v>
      </c>
      <c r="Z411" s="32"/>
    </row>
    <row r="412" spans="21:26">
      <c r="U412" t="s">
        <v>523</v>
      </c>
      <c r="V412" s="1">
        <v>66684.259999999995</v>
      </c>
      <c r="W412" s="24">
        <f t="shared" si="16"/>
        <v>9.4361414997374826E-3</v>
      </c>
      <c r="X412" s="1">
        <v>997</v>
      </c>
      <c r="Y412" s="24">
        <f t="shared" si="17"/>
        <v>3.8487578771938979E-2</v>
      </c>
      <c r="Z412" s="32"/>
    </row>
    <row r="413" spans="21:26">
      <c r="U413" t="s">
        <v>524</v>
      </c>
      <c r="V413" s="1">
        <v>66160.2</v>
      </c>
      <c r="W413" s="24">
        <f t="shared" si="16"/>
        <v>-7.8588260558037915E-3</v>
      </c>
      <c r="X413" s="1">
        <v>996.2</v>
      </c>
      <c r="Y413" s="24">
        <f t="shared" si="17"/>
        <v>-8.0240722166491363E-4</v>
      </c>
      <c r="Z413" s="32"/>
    </row>
    <row r="414" spans="21:26">
      <c r="U414" t="s">
        <v>525</v>
      </c>
      <c r="V414" s="1">
        <v>65721.25</v>
      </c>
      <c r="W414" s="24">
        <f t="shared" si="16"/>
        <v>-6.6346534623534792E-3</v>
      </c>
      <c r="X414" s="1">
        <v>970.5</v>
      </c>
      <c r="Y414" s="24">
        <f t="shared" si="17"/>
        <v>-2.5798032523589698E-2</v>
      </c>
      <c r="Z414" s="32"/>
    </row>
    <row r="415" spans="21:26">
      <c r="U415" t="s">
        <v>526</v>
      </c>
      <c r="V415" s="1">
        <v>65322.65</v>
      </c>
      <c r="W415" s="24">
        <f t="shared" si="16"/>
        <v>-6.0650094147630673E-3</v>
      </c>
      <c r="X415" s="1">
        <v>952.85</v>
      </c>
      <c r="Y415" s="24">
        <f t="shared" si="17"/>
        <v>-1.8186501803194255E-2</v>
      </c>
      <c r="Z415" s="32"/>
    </row>
    <row r="416" spans="21:26">
      <c r="U416" t="s">
        <v>527</v>
      </c>
      <c r="V416" s="1">
        <v>64948.66</v>
      </c>
      <c r="W416" s="24">
        <f t="shared" si="16"/>
        <v>-5.7252729336607633E-3</v>
      </c>
      <c r="X416" s="1">
        <v>950.65</v>
      </c>
      <c r="Y416" s="24">
        <f t="shared" si="17"/>
        <v>-2.3088628850291837E-3</v>
      </c>
      <c r="Z416" s="32"/>
    </row>
    <row r="417" spans="21:26">
      <c r="U417" t="s">
        <v>528</v>
      </c>
      <c r="V417" s="1">
        <v>64886.51</v>
      </c>
      <c r="W417" s="24">
        <f t="shared" si="16"/>
        <v>-9.5690965756645152E-4</v>
      </c>
      <c r="X417" s="1">
        <v>970.4</v>
      </c>
      <c r="Y417" s="24">
        <f t="shared" si="17"/>
        <v>2.0775259033293025E-2</v>
      </c>
      <c r="Z417" s="32"/>
    </row>
    <row r="418" spans="21:26">
      <c r="U418" t="s">
        <v>529</v>
      </c>
      <c r="V418" s="1">
        <v>65387.16</v>
      </c>
      <c r="W418" s="24">
        <f t="shared" si="16"/>
        <v>7.7157794432156646E-3</v>
      </c>
      <c r="X418" s="1">
        <v>968.7</v>
      </c>
      <c r="Y418" s="24">
        <f t="shared" si="17"/>
        <v>-1.7518549051936949E-3</v>
      </c>
      <c r="Z418" s="32"/>
    </row>
    <row r="419" spans="21:26">
      <c r="U419" t="s">
        <v>530</v>
      </c>
      <c r="V419" s="1">
        <v>66598.91</v>
      </c>
      <c r="W419" s="24">
        <f t="shared" si="16"/>
        <v>1.8531925839874397E-2</v>
      </c>
      <c r="X419" s="1">
        <v>970.55</v>
      </c>
      <c r="Y419" s="24">
        <f t="shared" si="17"/>
        <v>1.9097759884381116E-3</v>
      </c>
      <c r="Z419" s="32"/>
    </row>
    <row r="420" spans="21:26">
      <c r="U420" t="s">
        <v>531</v>
      </c>
      <c r="V420" s="1">
        <v>67838.63</v>
      </c>
      <c r="W420" s="24">
        <f t="shared" si="16"/>
        <v>1.861471906972656E-2</v>
      </c>
      <c r="X420" s="1">
        <v>992.45</v>
      </c>
      <c r="Y420" s="24">
        <f t="shared" si="17"/>
        <v>2.2564525269177294E-2</v>
      </c>
      <c r="Z420" s="32"/>
    </row>
    <row r="421" spans="21:26">
      <c r="U421" t="s">
        <v>532</v>
      </c>
      <c r="V421" s="1">
        <v>66009.149999999994</v>
      </c>
      <c r="W421" s="24">
        <f t="shared" si="16"/>
        <v>-2.6968115364358169E-2</v>
      </c>
      <c r="X421" s="1">
        <v>950.3</v>
      </c>
      <c r="Y421" s="24">
        <f t="shared" si="17"/>
        <v>-4.2470653433422378E-2</v>
      </c>
      <c r="Z421" s="32"/>
    </row>
    <row r="422" spans="21:26">
      <c r="U422" t="s">
        <v>533</v>
      </c>
      <c r="V422" s="1">
        <v>65828.41</v>
      </c>
      <c r="W422" s="24">
        <f t="shared" si="16"/>
        <v>-2.7381052475299317E-3</v>
      </c>
      <c r="X422" s="1">
        <v>951.9</v>
      </c>
      <c r="Y422" s="24">
        <f t="shared" si="17"/>
        <v>1.6836788382617041E-3</v>
      </c>
      <c r="Z422" s="32"/>
    </row>
    <row r="423" spans="21:26">
      <c r="U423" t="s">
        <v>534</v>
      </c>
      <c r="V423" s="1">
        <v>65995.63</v>
      </c>
      <c r="W423" s="24">
        <f t="shared" si="16"/>
        <v>2.5402406043226744E-3</v>
      </c>
      <c r="X423" s="1">
        <v>945.2</v>
      </c>
      <c r="Y423" s="24">
        <f t="shared" si="17"/>
        <v>-7.03855447000723E-3</v>
      </c>
      <c r="Z423" s="32"/>
    </row>
    <row r="424" spans="21:26">
      <c r="U424" t="s">
        <v>535</v>
      </c>
      <c r="V424" s="1">
        <v>66282.740000000005</v>
      </c>
      <c r="W424" s="24">
        <f t="shared" si="16"/>
        <v>4.3504395669835549E-3</v>
      </c>
      <c r="X424" s="1">
        <v>951.3</v>
      </c>
      <c r="Y424" s="24">
        <f t="shared" si="17"/>
        <v>6.4536606009308883E-3</v>
      </c>
      <c r="Z424" s="32"/>
    </row>
    <row r="425" spans="21:26">
      <c r="U425" t="s">
        <v>536</v>
      </c>
      <c r="V425" s="1">
        <v>65397.62</v>
      </c>
      <c r="W425" s="24">
        <f t="shared" si="16"/>
        <v>-1.3353702638122744E-2</v>
      </c>
      <c r="X425" s="1">
        <v>932.75</v>
      </c>
      <c r="Y425" s="24">
        <f t="shared" si="17"/>
        <v>-1.9499632082413454E-2</v>
      </c>
      <c r="Z425" s="32"/>
    </row>
    <row r="426" spans="21:26">
      <c r="U426" t="s">
        <v>537</v>
      </c>
      <c r="V426" s="1">
        <v>63782.8</v>
      </c>
      <c r="W426" s="24">
        <f t="shared" si="16"/>
        <v>-2.4692335898462314E-2</v>
      </c>
      <c r="X426" s="1">
        <v>912.75</v>
      </c>
      <c r="Y426" s="24">
        <f t="shared" si="17"/>
        <v>-2.1441972661484843E-2</v>
      </c>
      <c r="Z426" s="32"/>
    </row>
    <row r="427" spans="21:26">
      <c r="U427" t="s">
        <v>538</v>
      </c>
      <c r="V427" s="1">
        <v>64363.78</v>
      </c>
      <c r="W427" s="24">
        <f t="shared" si="16"/>
        <v>9.1087252362704874E-3</v>
      </c>
      <c r="X427" s="1">
        <v>933.8</v>
      </c>
      <c r="Y427" s="24">
        <f t="shared" si="17"/>
        <v>2.3062174746644626E-2</v>
      </c>
      <c r="Z427" s="32"/>
    </row>
    <row r="428" spans="21:26">
      <c r="U428" t="s">
        <v>539</v>
      </c>
      <c r="V428" s="1">
        <v>65259.45</v>
      </c>
      <c r="W428" s="24">
        <f t="shared" si="16"/>
        <v>1.3915745781245326E-2</v>
      </c>
      <c r="X428" s="1">
        <v>942.35</v>
      </c>
      <c r="Y428" s="24">
        <f t="shared" si="17"/>
        <v>9.1561362176055816E-3</v>
      </c>
      <c r="Z428" s="32"/>
    </row>
    <row r="429" spans="21:26">
      <c r="U429" t="s">
        <v>540</v>
      </c>
      <c r="V429" s="1">
        <v>65794.73</v>
      </c>
      <c r="W429" s="24">
        <f t="shared" si="16"/>
        <v>8.2023369795485301E-3</v>
      </c>
      <c r="X429" s="1">
        <v>921.85</v>
      </c>
      <c r="Y429" s="24">
        <f t="shared" si="17"/>
        <v>-2.175412532498544E-2</v>
      </c>
      <c r="Z429" s="32"/>
    </row>
    <row r="430" spans="21:26">
      <c r="U430" t="s">
        <v>541</v>
      </c>
      <c r="V430" s="1">
        <v>65970.039999999994</v>
      </c>
      <c r="W430" s="24">
        <f t="shared" si="16"/>
        <v>2.664499117178476E-3</v>
      </c>
      <c r="X430" s="1">
        <v>929.4</v>
      </c>
      <c r="Y430" s="24">
        <f t="shared" si="17"/>
        <v>8.1900526115961103E-3</v>
      </c>
      <c r="Z430" s="32"/>
    </row>
    <row r="431" spans="21:26">
      <c r="U431" t="s">
        <v>542</v>
      </c>
      <c r="V431" s="1">
        <v>67481.19</v>
      </c>
      <c r="W431" s="24">
        <f t="shared" si="16"/>
        <v>2.2906610334024524E-2</v>
      </c>
      <c r="X431" s="1">
        <v>946.7</v>
      </c>
      <c r="Y431" s="24">
        <f t="shared" si="17"/>
        <v>1.8614159672907249E-2</v>
      </c>
      <c r="Z431" s="32"/>
    </row>
    <row r="432" spans="21:26">
      <c r="U432" t="s">
        <v>543</v>
      </c>
      <c r="V432" s="1">
        <v>69825.600000000006</v>
      </c>
      <c r="W432" s="24">
        <f t="shared" si="16"/>
        <v>3.4741681348535947E-2</v>
      </c>
      <c r="X432" s="1">
        <v>1010.85</v>
      </c>
      <c r="Y432" s="24">
        <f t="shared" si="17"/>
        <v>6.7761698531741743E-2</v>
      </c>
      <c r="Z432" s="32"/>
    </row>
    <row r="433" spans="21:26">
      <c r="U433" t="s">
        <v>544</v>
      </c>
      <c r="V433" s="1">
        <v>71483.75</v>
      </c>
      <c r="W433" s="24">
        <f t="shared" si="16"/>
        <v>2.3747021149836067E-2</v>
      </c>
      <c r="X433" s="1">
        <v>1037.4000000000001</v>
      </c>
      <c r="Y433" s="24">
        <f t="shared" si="17"/>
        <v>2.6265024484344979E-2</v>
      </c>
      <c r="Z433" s="32"/>
    </row>
    <row r="434" spans="21:26">
      <c r="U434" t="s">
        <v>545</v>
      </c>
      <c r="V434" s="1">
        <v>71106.960000000006</v>
      </c>
      <c r="W434" s="24">
        <f t="shared" si="16"/>
        <v>-5.2709881616450627E-3</v>
      </c>
      <c r="X434" s="1">
        <v>994.3</v>
      </c>
      <c r="Y434" s="24">
        <f t="shared" si="17"/>
        <v>-4.1546173125120656E-2</v>
      </c>
      <c r="Z434" s="32"/>
    </row>
    <row r="435" spans="21:26">
      <c r="U435" t="s">
        <v>546</v>
      </c>
      <c r="V435" s="1">
        <v>72240.259999999995</v>
      </c>
      <c r="W435" s="24">
        <f t="shared" si="16"/>
        <v>1.59379616285098E-2</v>
      </c>
      <c r="X435" s="1">
        <v>996.6</v>
      </c>
      <c r="Y435" s="24">
        <f t="shared" si="17"/>
        <v>2.3131851553856997E-3</v>
      </c>
      <c r="Z435" s="32"/>
    </row>
    <row r="436" spans="21:26">
      <c r="U436" t="s">
        <v>547</v>
      </c>
      <c r="V436" s="1">
        <v>72026.149999999994</v>
      </c>
      <c r="W436" s="24">
        <f t="shared" si="16"/>
        <v>-2.9638597646243214E-3</v>
      </c>
      <c r="X436" s="1">
        <v>993.7</v>
      </c>
      <c r="Y436" s="24">
        <f t="shared" si="17"/>
        <v>-2.9098936383704643E-3</v>
      </c>
      <c r="Z436" s="32"/>
    </row>
    <row r="437" spans="21:26">
      <c r="U437" t="s">
        <v>548</v>
      </c>
      <c r="V437" s="1">
        <v>72568.45</v>
      </c>
      <c r="W437" s="24">
        <f t="shared" si="16"/>
        <v>7.5292098772459237E-3</v>
      </c>
      <c r="X437" s="1">
        <v>1003.5</v>
      </c>
      <c r="Y437" s="24">
        <f t="shared" si="17"/>
        <v>9.8621314279963013E-3</v>
      </c>
      <c r="Z437" s="32"/>
    </row>
    <row r="438" spans="21:26">
      <c r="U438" t="s">
        <v>549</v>
      </c>
      <c r="V438" s="1">
        <v>71423.649999999994</v>
      </c>
      <c r="W438" s="24">
        <f t="shared" si="16"/>
        <v>-1.5775450626270837E-2</v>
      </c>
      <c r="X438" s="1">
        <v>1008.7</v>
      </c>
      <c r="Y438" s="24">
        <f t="shared" si="17"/>
        <v>5.1818634778275641E-3</v>
      </c>
      <c r="Z438" s="32"/>
    </row>
    <row r="439" spans="21:26">
      <c r="U439" t="s">
        <v>550</v>
      </c>
      <c r="V439" s="1">
        <v>70700.67</v>
      </c>
      <c r="W439" s="24">
        <f t="shared" si="16"/>
        <v>-1.0122417434561215E-2</v>
      </c>
      <c r="X439" s="1">
        <v>1009.95</v>
      </c>
      <c r="Y439" s="24">
        <f t="shared" si="17"/>
        <v>1.2392187964707091E-3</v>
      </c>
      <c r="Z439" s="32"/>
    </row>
    <row r="440" spans="21:26">
      <c r="U440" t="s">
        <v>551</v>
      </c>
      <c r="V440" s="1">
        <v>72085.63</v>
      </c>
      <c r="W440" s="24">
        <f t="shared" si="16"/>
        <v>1.9589064714662596E-2</v>
      </c>
      <c r="X440" s="1">
        <v>1024</v>
      </c>
      <c r="Y440" s="24">
        <f t="shared" si="17"/>
        <v>1.3911579781177297E-2</v>
      </c>
      <c r="Z440" s="32"/>
    </row>
    <row r="441" spans="21:26">
      <c r="U441" t="s">
        <v>552</v>
      </c>
      <c r="V441" s="1">
        <v>71595.490000000005</v>
      </c>
      <c r="W441" s="24">
        <f t="shared" si="16"/>
        <v>-6.7994134198452461E-3</v>
      </c>
      <c r="X441" s="1">
        <v>1010.7</v>
      </c>
      <c r="Y441" s="24">
        <f t="shared" si="17"/>
        <v>-1.2988281249999956E-2</v>
      </c>
      <c r="Z441" s="32"/>
    </row>
    <row r="442" spans="21:26">
      <c r="U442" t="s">
        <v>553</v>
      </c>
      <c r="V442" s="1">
        <v>72426.64</v>
      </c>
      <c r="W442" s="24">
        <f t="shared" si="16"/>
        <v>1.1608971458956452E-2</v>
      </c>
      <c r="X442" s="1">
        <v>1023.25</v>
      </c>
      <c r="Y442" s="24">
        <f t="shared" si="17"/>
        <v>1.2417136637973725E-2</v>
      </c>
      <c r="Z442" s="32"/>
    </row>
    <row r="443" spans="21:26">
      <c r="U443" t="s">
        <v>554</v>
      </c>
      <c r="V443" s="1">
        <v>73142.8</v>
      </c>
      <c r="W443" s="24">
        <f t="shared" si="16"/>
        <v>9.8880743328697562E-3</v>
      </c>
      <c r="X443" s="1">
        <v>1061.3</v>
      </c>
      <c r="Y443" s="24">
        <f t="shared" si="17"/>
        <v>3.7185438553628103E-2</v>
      </c>
      <c r="Z443" s="32"/>
    </row>
    <row r="444" spans="21:26">
      <c r="U444" t="s">
        <v>555</v>
      </c>
      <c r="V444" s="1">
        <v>73806.149999999994</v>
      </c>
      <c r="W444" s="24">
        <f t="shared" si="16"/>
        <v>9.0692453665979222E-3</v>
      </c>
      <c r="X444" s="1">
        <v>1084.6500000000001</v>
      </c>
      <c r="Y444" s="24">
        <f t="shared" si="17"/>
        <v>2.2001319136907727E-2</v>
      </c>
      <c r="Z444" s="32"/>
    </row>
    <row r="445" spans="21:26">
      <c r="U445" t="s">
        <v>556</v>
      </c>
      <c r="V445" s="1">
        <v>74119.39</v>
      </c>
      <c r="W445" s="24">
        <f t="shared" si="16"/>
        <v>4.2440907702137043E-3</v>
      </c>
      <c r="X445" s="1">
        <v>1087.95</v>
      </c>
      <c r="Y445" s="24">
        <f t="shared" si="17"/>
        <v>3.0424560918267396E-3</v>
      </c>
      <c r="Z445" s="32"/>
    </row>
    <row r="446" spans="21:26">
      <c r="U446" t="s">
        <v>557</v>
      </c>
      <c r="V446" s="1">
        <v>72643.429999999993</v>
      </c>
      <c r="W446" s="24">
        <f t="shared" si="16"/>
        <v>-1.9913277753635161E-2</v>
      </c>
      <c r="X446" s="1">
        <v>1080.3499999999999</v>
      </c>
      <c r="Y446" s="24">
        <f t="shared" si="17"/>
        <v>-6.9856151477550865E-3</v>
      </c>
      <c r="Z446" s="32"/>
    </row>
    <row r="447" spans="21:26">
      <c r="U447" t="s">
        <v>558</v>
      </c>
      <c r="V447" s="1">
        <v>72831.94</v>
      </c>
      <c r="W447" s="24">
        <f t="shared" si="16"/>
        <v>2.5950041180600181E-3</v>
      </c>
      <c r="X447" s="1">
        <v>1090.3</v>
      </c>
      <c r="Y447" s="24">
        <f t="shared" si="17"/>
        <v>9.2099782477901293E-3</v>
      </c>
      <c r="Z447" s="32"/>
    </row>
    <row r="448" spans="21:26">
      <c r="U448" t="s">
        <v>559</v>
      </c>
      <c r="V448" s="1">
        <v>73651.350000000006</v>
      </c>
      <c r="W448" s="24">
        <f t="shared" si="16"/>
        <v>1.125069577990101E-2</v>
      </c>
      <c r="X448" s="1">
        <v>1093.3</v>
      </c>
      <c r="Y448" s="24">
        <f t="shared" si="17"/>
        <v>2.7515362744199301E-3</v>
      </c>
      <c r="Z448" s="32"/>
    </row>
    <row r="449" spans="21:26">
      <c r="U449" t="s">
        <v>560</v>
      </c>
      <c r="V449" s="1">
        <v>74248.22</v>
      </c>
      <c r="W449" s="24">
        <f t="shared" si="16"/>
        <v>8.1039926627277659E-3</v>
      </c>
      <c r="X449" s="1">
        <v>1083.4000000000001</v>
      </c>
      <c r="Y449" s="24">
        <f t="shared" si="17"/>
        <v>-9.0551541205523556E-3</v>
      </c>
      <c r="Z449" s="32"/>
    </row>
    <row r="450" spans="21:26">
      <c r="U450" t="s">
        <v>561</v>
      </c>
      <c r="V450" s="1">
        <v>74244.899999999994</v>
      </c>
      <c r="W450" s="24">
        <f t="shared" si="16"/>
        <v>-4.4714876666462899E-5</v>
      </c>
      <c r="X450" s="1">
        <v>1104.4000000000001</v>
      </c>
      <c r="Y450" s="24">
        <f t="shared" si="17"/>
        <v>1.9383422558611807E-2</v>
      </c>
      <c r="Z450" s="32"/>
    </row>
    <row r="451" spans="21:26">
      <c r="U451" t="s">
        <v>562</v>
      </c>
      <c r="V451" s="1">
        <v>73088.33</v>
      </c>
      <c r="W451" s="24">
        <f t="shared" si="16"/>
        <v>-1.557777032496499E-2</v>
      </c>
      <c r="X451" s="1">
        <v>1067.25</v>
      </c>
      <c r="Y451" s="24">
        <f t="shared" si="17"/>
        <v>-3.3638174574429636E-2</v>
      </c>
      <c r="Z451" s="32"/>
    </row>
    <row r="452" spans="21:26">
      <c r="U452" t="s">
        <v>563</v>
      </c>
      <c r="V452" s="1">
        <v>73730.16</v>
      </c>
      <c r="W452" s="24">
        <f t="shared" si="16"/>
        <v>8.7815660858581168E-3</v>
      </c>
      <c r="X452" s="1">
        <v>1107.9000000000001</v>
      </c>
      <c r="Y452" s="24">
        <f t="shared" si="17"/>
        <v>3.8088545326774526E-2</v>
      </c>
      <c r="Z452" s="32"/>
    </row>
    <row r="453" spans="21:26">
      <c r="U453" t="s">
        <v>564</v>
      </c>
      <c r="V453" s="1">
        <v>73878.149999999994</v>
      </c>
      <c r="W453" s="24">
        <f t="shared" si="16"/>
        <v>2.0071840343218739E-3</v>
      </c>
      <c r="X453" s="1">
        <v>1142.05</v>
      </c>
      <c r="Y453" s="24">
        <f t="shared" si="17"/>
        <v>3.0824081595811847E-2</v>
      </c>
      <c r="Z453" s="32"/>
    </row>
    <row r="454" spans="21:26">
      <c r="U454" t="s">
        <v>565</v>
      </c>
      <c r="V454" s="1">
        <v>72664.47</v>
      </c>
      <c r="W454" s="24">
        <f t="shared" si="16"/>
        <v>-1.6428131998432516E-2</v>
      </c>
      <c r="X454" s="1">
        <v>1117.05</v>
      </c>
      <c r="Y454" s="24">
        <f t="shared" si="17"/>
        <v>-2.189046013747209E-2</v>
      </c>
      <c r="Z454" s="32"/>
    </row>
    <row r="455" spans="21:26">
      <c r="U455" t="s">
        <v>566</v>
      </c>
      <c r="V455" s="1">
        <v>74005.94</v>
      </c>
      <c r="W455" s="24">
        <f t="shared" si="16"/>
        <v>1.8461154399116886E-2</v>
      </c>
      <c r="X455" s="1">
        <v>1130.75</v>
      </c>
      <c r="Y455" s="24">
        <f t="shared" si="17"/>
        <v>1.2264446533279738E-2</v>
      </c>
      <c r="Z455" s="32"/>
    </row>
    <row r="456" spans="21:26">
      <c r="U456" t="s">
        <v>567</v>
      </c>
      <c r="V456" s="1">
        <v>75410.39</v>
      </c>
      <c r="W456" s="24">
        <f t="shared" si="16"/>
        <v>1.8977530722533942E-2</v>
      </c>
      <c r="X456" s="1">
        <v>1131.95</v>
      </c>
      <c r="Y456" s="24">
        <f t="shared" si="17"/>
        <v>1.0612425381384405E-3</v>
      </c>
      <c r="Z456" s="32"/>
    </row>
    <row r="457" spans="21:26">
      <c r="U457" t="s">
        <v>568</v>
      </c>
      <c r="V457" s="1">
        <v>73961.31</v>
      </c>
      <c r="W457" s="24">
        <f t="shared" si="16"/>
        <v>-1.9215919716102814E-2</v>
      </c>
      <c r="X457" s="1">
        <v>1121.05</v>
      </c>
      <c r="Y457" s="24">
        <f t="shared" si="17"/>
        <v>-9.6294005918989845E-3</v>
      </c>
      <c r="Z457" s="32"/>
    </row>
    <row r="458" spans="21:26">
      <c r="U458" t="s">
        <v>569</v>
      </c>
      <c r="V458" s="1">
        <v>76693.36</v>
      </c>
      <c r="W458" s="24">
        <f t="shared" si="16"/>
        <v>3.6938907653204067E-2</v>
      </c>
      <c r="X458" s="1">
        <v>1121.7</v>
      </c>
      <c r="Y458" s="24">
        <f t="shared" si="17"/>
        <v>5.7981356763758818E-4</v>
      </c>
      <c r="Z458" s="32"/>
    </row>
    <row r="459" spans="21:26">
      <c r="U459" t="s">
        <v>570</v>
      </c>
      <c r="V459" s="1">
        <v>76992.77</v>
      </c>
      <c r="W459" s="24">
        <f t="shared" ref="W459:W522" si="18">V459/V458-1</f>
        <v>3.9039885591138912E-3</v>
      </c>
      <c r="X459" s="1">
        <v>1105.6500000000001</v>
      </c>
      <c r="Y459" s="24">
        <f t="shared" ref="Y459:Y522" si="19">X459/X458-1</f>
        <v>-1.4308638673442009E-2</v>
      </c>
      <c r="Z459" s="32"/>
    </row>
    <row r="460" spans="21:26">
      <c r="U460" t="s">
        <v>571</v>
      </c>
      <c r="V460" s="1">
        <v>77209.899999999994</v>
      </c>
      <c r="W460" s="24">
        <f t="shared" si="18"/>
        <v>2.8201349295522427E-3</v>
      </c>
      <c r="X460" s="1">
        <v>1158.6500000000001</v>
      </c>
      <c r="Y460" s="24">
        <f t="shared" si="19"/>
        <v>4.7935603491159107E-2</v>
      </c>
      <c r="Z460" s="32"/>
    </row>
    <row r="461" spans="21:26">
      <c r="U461" t="s">
        <v>572</v>
      </c>
      <c r="V461" s="1">
        <v>79032.73</v>
      </c>
      <c r="W461" s="24">
        <f t="shared" si="18"/>
        <v>2.3608760016526453E-2</v>
      </c>
      <c r="X461" s="1">
        <v>1199.5999999999999</v>
      </c>
      <c r="Y461" s="24">
        <f t="shared" si="19"/>
        <v>3.5342855909894944E-2</v>
      </c>
      <c r="Z461" s="32"/>
    </row>
    <row r="462" spans="21:26">
      <c r="U462" t="s">
        <v>573</v>
      </c>
      <c r="V462" s="1">
        <v>79996.600000000006</v>
      </c>
      <c r="W462" s="24">
        <f t="shared" si="18"/>
        <v>1.2195833295901792E-2</v>
      </c>
      <c r="X462" s="1">
        <v>1233.4000000000001</v>
      </c>
      <c r="Y462" s="24">
        <f t="shared" si="19"/>
        <v>2.8176058686228966E-2</v>
      </c>
      <c r="Z462" s="32"/>
    </row>
    <row r="463" spans="21:26">
      <c r="U463" t="s">
        <v>574</v>
      </c>
      <c r="V463" s="1">
        <v>80519.34</v>
      </c>
      <c r="W463" s="24">
        <f t="shared" si="18"/>
        <v>6.534527717427796E-3</v>
      </c>
      <c r="X463" s="1">
        <v>1232.9000000000001</v>
      </c>
      <c r="Y463" s="24">
        <f t="shared" si="19"/>
        <v>-4.0538349278418373E-4</v>
      </c>
      <c r="Z463" s="32"/>
    </row>
    <row r="464" spans="21:26">
      <c r="U464" t="s">
        <v>575</v>
      </c>
      <c r="V464" s="1">
        <v>80604.649999999994</v>
      </c>
      <c r="W464" s="24">
        <f t="shared" si="18"/>
        <v>1.0594970102835166E-3</v>
      </c>
      <c r="X464" s="1">
        <v>1248.6500000000001</v>
      </c>
      <c r="Y464" s="24">
        <f t="shared" si="19"/>
        <v>1.2774758699002353E-2</v>
      </c>
      <c r="Z464" s="32"/>
    </row>
    <row r="465" spans="21:26">
      <c r="U465" t="s">
        <v>576</v>
      </c>
      <c r="V465" s="1">
        <v>81332.72</v>
      </c>
      <c r="W465" s="24">
        <f t="shared" si="18"/>
        <v>9.0326054390164057E-3</v>
      </c>
      <c r="X465" s="1">
        <v>1207.2</v>
      </c>
      <c r="Y465" s="24">
        <f t="shared" si="19"/>
        <v>-3.3195851519641217E-2</v>
      </c>
      <c r="Z465" s="32"/>
    </row>
    <row r="466" spans="21:26">
      <c r="U466" t="s">
        <v>577</v>
      </c>
      <c r="V466" s="1">
        <v>80981.95</v>
      </c>
      <c r="W466" s="24">
        <f t="shared" si="18"/>
        <v>-4.3127784242308342E-3</v>
      </c>
      <c r="X466" s="1">
        <v>1196.55</v>
      </c>
      <c r="Y466" s="24">
        <f t="shared" si="19"/>
        <v>-8.8220675944334914E-3</v>
      </c>
      <c r="Z466" s="32"/>
    </row>
    <row r="467" spans="21:26">
      <c r="U467" t="s">
        <v>578</v>
      </c>
      <c r="V467" s="1">
        <v>79705.91</v>
      </c>
      <c r="W467" s="24">
        <f t="shared" si="18"/>
        <v>-1.5757091549413071E-2</v>
      </c>
      <c r="X467" s="1">
        <v>1171.5999999999999</v>
      </c>
      <c r="Y467" s="24">
        <f t="shared" si="19"/>
        <v>-2.0851615059964135E-2</v>
      </c>
      <c r="Z467" s="32"/>
    </row>
    <row r="468" spans="21:26">
      <c r="U468" t="s">
        <v>579</v>
      </c>
      <c r="V468" s="1">
        <v>80436.84</v>
      </c>
      <c r="W468" s="24">
        <f t="shared" si="18"/>
        <v>9.1703363025401607E-3</v>
      </c>
      <c r="X468" s="1">
        <v>1187.25</v>
      </c>
      <c r="Y468" s="24">
        <f t="shared" si="19"/>
        <v>1.3357801297371186E-2</v>
      </c>
      <c r="Z468" s="32"/>
    </row>
    <row r="469" spans="21:26">
      <c r="U469" t="s">
        <v>580</v>
      </c>
      <c r="V469" s="1">
        <v>81086.210000000006</v>
      </c>
      <c r="W469" s="24">
        <f t="shared" si="18"/>
        <v>8.073042153321941E-3</v>
      </c>
      <c r="X469" s="1">
        <v>1203.5</v>
      </c>
      <c r="Y469" s="24">
        <f t="shared" si="19"/>
        <v>1.3687092019372571E-2</v>
      </c>
      <c r="Z469" s="32"/>
    </row>
    <row r="470" spans="21:26">
      <c r="U470" t="s">
        <v>581</v>
      </c>
      <c r="V470" s="1">
        <v>82365.77</v>
      </c>
      <c r="W470" s="24">
        <f t="shared" si="18"/>
        <v>1.5780241794504768E-2</v>
      </c>
      <c r="X470" s="1">
        <v>1229.2</v>
      </c>
      <c r="Y470" s="24">
        <f t="shared" si="19"/>
        <v>2.1354383049439152E-2</v>
      </c>
      <c r="Z470" s="32"/>
    </row>
    <row r="471" spans="21:26">
      <c r="U471" t="s">
        <v>582</v>
      </c>
      <c r="V471" s="1">
        <v>81183.929999999993</v>
      </c>
      <c r="W471" s="24">
        <f t="shared" si="18"/>
        <v>-1.434867906898718E-2</v>
      </c>
      <c r="X471" s="1">
        <v>1208.1500000000001</v>
      </c>
      <c r="Y471" s="24">
        <f t="shared" si="19"/>
        <v>-1.7124959323136957E-2</v>
      </c>
      <c r="Z471" s="32"/>
    </row>
    <row r="472" spans="21:26">
      <c r="U472" t="s">
        <v>583</v>
      </c>
      <c r="V472" s="1">
        <v>82890.94</v>
      </c>
      <c r="W472" s="24">
        <f t="shared" si="18"/>
        <v>2.1026451909879285E-2</v>
      </c>
      <c r="X472" s="1">
        <v>1250.3499999999999</v>
      </c>
      <c r="Y472" s="24">
        <f t="shared" si="19"/>
        <v>3.4929437569838129E-2</v>
      </c>
      <c r="Z472" s="32"/>
    </row>
    <row r="473" spans="21:26">
      <c r="U473" t="s">
        <v>584</v>
      </c>
      <c r="V473" s="1">
        <v>84544.31</v>
      </c>
      <c r="W473" s="24">
        <f t="shared" si="18"/>
        <v>1.9946329478227609E-2</v>
      </c>
      <c r="X473" s="1">
        <v>1338.45</v>
      </c>
      <c r="Y473" s="24">
        <f t="shared" si="19"/>
        <v>7.0460271124085372E-2</v>
      </c>
      <c r="Z473" s="32"/>
    </row>
    <row r="474" spans="21:26">
      <c r="U474" t="s">
        <v>585</v>
      </c>
      <c r="V474" s="1">
        <v>85571.85</v>
      </c>
      <c r="W474" s="24">
        <f t="shared" si="18"/>
        <v>1.2153863459291481E-2</v>
      </c>
      <c r="X474" s="1">
        <v>1306.5999999999999</v>
      </c>
      <c r="Y474" s="24">
        <f t="shared" si="19"/>
        <v>-2.3796182150995659E-2</v>
      </c>
      <c r="Z474" s="32"/>
    </row>
    <row r="475" spans="21:26">
      <c r="U475" t="s">
        <v>586</v>
      </c>
      <c r="V475" s="1">
        <v>81688.45</v>
      </c>
      <c r="W475" s="24">
        <f t="shared" si="18"/>
        <v>-4.5381746450497529E-2</v>
      </c>
      <c r="X475" s="1">
        <v>1239.75</v>
      </c>
      <c r="Y475" s="24">
        <f t="shared" si="19"/>
        <v>-5.1163324659421305E-2</v>
      </c>
      <c r="Z475" s="32"/>
    </row>
    <row r="476" spans="21:26">
      <c r="U476" t="s">
        <v>587</v>
      </c>
      <c r="V476" s="1">
        <v>81381.36</v>
      </c>
      <c r="W476" s="24">
        <f t="shared" si="18"/>
        <v>-3.7592829830900287E-3</v>
      </c>
      <c r="X476" s="1">
        <v>1223</v>
      </c>
      <c r="Y476" s="24">
        <f t="shared" si="19"/>
        <v>-1.3510788465416423E-2</v>
      </c>
      <c r="Z476" s="32"/>
    </row>
    <row r="477" spans="21:26">
      <c r="U477" t="s">
        <v>588</v>
      </c>
      <c r="V477" s="1">
        <v>81224.75</v>
      </c>
      <c r="W477" s="24">
        <f t="shared" si="18"/>
        <v>-1.924396446557286E-3</v>
      </c>
      <c r="X477" s="1">
        <v>1264.5</v>
      </c>
      <c r="Y477" s="24">
        <f t="shared" si="19"/>
        <v>3.3932951757972285E-2</v>
      </c>
      <c r="Z477" s="32"/>
    </row>
    <row r="478" spans="21:26">
      <c r="U478" t="s">
        <v>589</v>
      </c>
      <c r="V478" s="1">
        <v>79402.289999999994</v>
      </c>
      <c r="W478" s="24">
        <f t="shared" si="18"/>
        <v>-2.243724972991612E-2</v>
      </c>
      <c r="X478" s="1">
        <v>1255.45</v>
      </c>
      <c r="Y478" s="24">
        <f t="shared" si="19"/>
        <v>-7.1569790430999758E-3</v>
      </c>
      <c r="Z478" s="32"/>
    </row>
    <row r="479" spans="21:26">
      <c r="U479" t="s">
        <v>590</v>
      </c>
      <c r="V479" s="1">
        <v>79724.12</v>
      </c>
      <c r="W479" s="24">
        <f t="shared" si="18"/>
        <v>4.0531576608180409E-3</v>
      </c>
      <c r="X479" s="1">
        <v>1291.8</v>
      </c>
      <c r="Y479" s="24">
        <f t="shared" si="19"/>
        <v>2.895376159942642E-2</v>
      </c>
      <c r="Z479" s="32"/>
    </row>
    <row r="480" spans="21:26">
      <c r="U480" t="s">
        <v>591</v>
      </c>
      <c r="V480" s="1">
        <v>79486.320000000007</v>
      </c>
      <c r="W480" s="24">
        <f t="shared" si="18"/>
        <v>-2.9827861379967402E-3</v>
      </c>
      <c r="X480" s="1">
        <v>1258.8499999999999</v>
      </c>
      <c r="Y480" s="24">
        <f t="shared" si="19"/>
        <v>-2.5507044434122994E-2</v>
      </c>
      <c r="Z480" s="32"/>
    </row>
    <row r="481" spans="21:26">
      <c r="U481" t="s">
        <v>592</v>
      </c>
      <c r="V481" s="1">
        <v>77580.31</v>
      </c>
      <c r="W481" s="24">
        <f t="shared" si="18"/>
        <v>-2.3979094767502263E-2</v>
      </c>
      <c r="X481" s="1">
        <v>1256.95</v>
      </c>
      <c r="Y481" s="24">
        <f t="shared" si="19"/>
        <v>-1.5093140564800267E-3</v>
      </c>
      <c r="Z481" s="32"/>
    </row>
    <row r="482" spans="21:26">
      <c r="U482" t="s">
        <v>593</v>
      </c>
      <c r="V482" s="1">
        <v>79117.11</v>
      </c>
      <c r="W482" s="24">
        <f t="shared" si="18"/>
        <v>1.980915002788719E-2</v>
      </c>
      <c r="X482" s="1">
        <v>1278.05</v>
      </c>
      <c r="Y482" s="24">
        <f t="shared" si="19"/>
        <v>1.6786666136282102E-2</v>
      </c>
      <c r="Z482" s="32"/>
    </row>
    <row r="483" spans="21:26">
      <c r="U483" t="s">
        <v>594</v>
      </c>
      <c r="V483" s="1">
        <v>79802.789999999994</v>
      </c>
      <c r="W483" s="24">
        <f t="shared" si="18"/>
        <v>8.6666461906912406E-3</v>
      </c>
      <c r="X483" s="1">
        <v>1300.0999999999999</v>
      </c>
      <c r="Y483" s="24">
        <f t="shared" si="19"/>
        <v>1.7252846132780331E-2</v>
      </c>
      <c r="Z483" s="32"/>
    </row>
    <row r="484" spans="21:26">
      <c r="U484" t="s">
        <v>595</v>
      </c>
      <c r="V484" s="1">
        <v>81709.119999999995</v>
      </c>
      <c r="W484" s="24">
        <f t="shared" si="18"/>
        <v>2.3888011935422337E-2</v>
      </c>
      <c r="X484" s="1">
        <v>1328.75</v>
      </c>
      <c r="Y484" s="24">
        <f t="shared" si="19"/>
        <v>2.2036766402584451E-2</v>
      </c>
      <c r="Z484" s="32"/>
    </row>
    <row r="485" spans="21:26">
      <c r="U485" t="s">
        <v>596</v>
      </c>
      <c r="V485" s="1">
        <v>82133.119999999995</v>
      </c>
      <c r="W485" s="24">
        <f t="shared" si="18"/>
        <v>5.1891392295009275E-3</v>
      </c>
      <c r="X485" s="1">
        <v>1344.9</v>
      </c>
      <c r="Y485" s="24">
        <f t="shared" si="19"/>
        <v>1.2154280338664281E-2</v>
      </c>
      <c r="Z485" s="32"/>
    </row>
    <row r="486" spans="21:26">
      <c r="U486" t="s">
        <v>597</v>
      </c>
      <c r="V486" s="1">
        <v>78041.59</v>
      </c>
      <c r="W486" s="24">
        <f t="shared" si="18"/>
        <v>-4.9815835560611865E-2</v>
      </c>
      <c r="X486" s="1">
        <v>1288.4000000000001</v>
      </c>
      <c r="Y486" s="24">
        <f t="shared" si="19"/>
        <v>-4.2010558405829457E-2</v>
      </c>
      <c r="Z486" s="32"/>
    </row>
    <row r="487" spans="21:26">
      <c r="U487" t="s">
        <v>598</v>
      </c>
      <c r="V487" s="1">
        <v>78699.070000000007</v>
      </c>
      <c r="W487" s="24">
        <f t="shared" si="18"/>
        <v>8.4247386553759629E-3</v>
      </c>
      <c r="X487" s="1">
        <v>1307.55</v>
      </c>
      <c r="Y487" s="24">
        <f t="shared" si="19"/>
        <v>1.4863396460726319E-2</v>
      </c>
      <c r="Z487" s="32"/>
    </row>
    <row r="488" spans="21:26">
      <c r="U488" t="s">
        <v>599</v>
      </c>
      <c r="V488" s="1">
        <v>79223.11</v>
      </c>
      <c r="W488" s="24">
        <f t="shared" si="18"/>
        <v>6.6587826260207095E-3</v>
      </c>
      <c r="X488" s="1">
        <v>1265.05</v>
      </c>
      <c r="Y488" s="24">
        <f t="shared" si="19"/>
        <v>-3.2503537149630946E-2</v>
      </c>
      <c r="Z488" s="32"/>
    </row>
    <row r="489" spans="21:26">
      <c r="U489" t="s">
        <v>600</v>
      </c>
      <c r="V489" s="1">
        <v>77378.91</v>
      </c>
      <c r="W489" s="24">
        <f t="shared" si="18"/>
        <v>-2.3278561015844912E-2</v>
      </c>
      <c r="X489" s="1">
        <v>1249.8499999999999</v>
      </c>
      <c r="Y489" s="24">
        <f t="shared" si="19"/>
        <v>-1.2015335362238644E-2</v>
      </c>
      <c r="Z489" s="32"/>
    </row>
    <row r="490" spans="21:26">
      <c r="U490" t="s">
        <v>601</v>
      </c>
      <c r="V490" s="1">
        <v>76619.33</v>
      </c>
      <c r="W490" s="24">
        <f t="shared" si="18"/>
        <v>-9.8163698609866623E-3</v>
      </c>
      <c r="X490" s="1">
        <v>1225.45</v>
      </c>
      <c r="Y490" s="24">
        <f t="shared" si="19"/>
        <v>-1.9522342681121629E-2</v>
      </c>
      <c r="Z490" s="32"/>
    </row>
    <row r="491" spans="21:26">
      <c r="U491" t="s">
        <v>602</v>
      </c>
      <c r="V491" s="1">
        <v>76190.460000000006</v>
      </c>
      <c r="W491" s="24">
        <f t="shared" si="18"/>
        <v>-5.5974125589455248E-3</v>
      </c>
      <c r="X491" s="1">
        <v>1209.2</v>
      </c>
      <c r="Y491" s="24">
        <f t="shared" si="19"/>
        <v>-1.3260434942266142E-2</v>
      </c>
      <c r="Z491" s="32"/>
    </row>
    <row r="492" spans="21:26">
      <c r="U492" t="s">
        <v>603</v>
      </c>
      <c r="V492" s="1">
        <v>77505.960000000006</v>
      </c>
      <c r="W492" s="24">
        <f t="shared" si="18"/>
        <v>1.7265941169012589E-2</v>
      </c>
      <c r="X492" s="1">
        <v>1255.55</v>
      </c>
      <c r="Y492" s="24">
        <f t="shared" si="19"/>
        <v>3.8331128018524563E-2</v>
      </c>
      <c r="Z492" s="32"/>
    </row>
    <row r="493" spans="21:26">
      <c r="U493" t="s">
        <v>604</v>
      </c>
      <c r="V493" s="1">
        <v>77860.19</v>
      </c>
      <c r="W493" s="24">
        <f t="shared" si="18"/>
        <v>4.5703582021303646E-3</v>
      </c>
      <c r="X493" s="1">
        <v>1256.9000000000001</v>
      </c>
      <c r="Y493" s="24">
        <f t="shared" si="19"/>
        <v>1.0752259965753908E-3</v>
      </c>
      <c r="Z493" s="32"/>
    </row>
    <row r="494" spans="21:26">
      <c r="U494" t="s">
        <v>605</v>
      </c>
      <c r="V494" s="1">
        <v>75939.210000000006</v>
      </c>
      <c r="W494" s="24">
        <f t="shared" si="18"/>
        <v>-2.4672172004717607E-2</v>
      </c>
      <c r="X494" s="1">
        <v>1260.0999999999999</v>
      </c>
      <c r="Y494" s="24">
        <f t="shared" si="19"/>
        <v>2.5459463760042489E-3</v>
      </c>
      <c r="Z494" s="32"/>
    </row>
    <row r="495" spans="21:26">
      <c r="U495" t="s">
        <v>606</v>
      </c>
      <c r="V495" s="1">
        <v>75311.06</v>
      </c>
      <c r="W495" s="24">
        <f t="shared" si="18"/>
        <v>-8.2717478888707507E-3</v>
      </c>
      <c r="X495" s="1">
        <v>1232.95</v>
      </c>
      <c r="Y495" s="24">
        <f t="shared" si="19"/>
        <v>-2.1545909054836776E-2</v>
      </c>
      <c r="Z495" s="32"/>
    </row>
    <row r="496" spans="21:26">
      <c r="U496" t="s">
        <v>607</v>
      </c>
      <c r="V496" s="1">
        <v>73198.100000000006</v>
      </c>
      <c r="W496" s="24">
        <f t="shared" si="18"/>
        <v>-2.8056436863323819E-2</v>
      </c>
      <c r="X496" s="1">
        <v>1204.0999999999999</v>
      </c>
      <c r="Y496" s="24">
        <f t="shared" si="19"/>
        <v>-2.3399164605215295E-2</v>
      </c>
      <c r="Z496" s="32"/>
    </row>
    <row r="497" spans="21:26">
      <c r="U497" t="s">
        <v>608</v>
      </c>
      <c r="V497" s="1">
        <v>74332.58</v>
      </c>
      <c r="W497" s="24">
        <f t="shared" si="18"/>
        <v>1.5498762946032585E-2</v>
      </c>
      <c r="X497" s="1">
        <v>1214.55</v>
      </c>
      <c r="Y497" s="24">
        <f t="shared" si="19"/>
        <v>8.6786811726600188E-3</v>
      </c>
      <c r="Z497" s="32"/>
    </row>
    <row r="498" spans="21:26">
      <c r="U498" t="s">
        <v>609</v>
      </c>
      <c r="V498" s="1">
        <v>73828.91</v>
      </c>
      <c r="W498" s="24">
        <f t="shared" si="18"/>
        <v>-6.7758982669510193E-3</v>
      </c>
      <c r="X498" s="1">
        <v>1250.05</v>
      </c>
      <c r="Y498" s="24">
        <f t="shared" si="19"/>
        <v>2.9228932526450091E-2</v>
      </c>
      <c r="Z498" s="32"/>
    </row>
    <row r="499" spans="21:26">
      <c r="U499" t="s">
        <v>610</v>
      </c>
      <c r="V499" s="1">
        <v>76905.509999999995</v>
      </c>
      <c r="W499" s="24">
        <f t="shared" si="18"/>
        <v>4.1672022518008056E-2</v>
      </c>
      <c r="X499" s="1">
        <v>1343.1</v>
      </c>
      <c r="Y499" s="24">
        <f t="shared" si="19"/>
        <v>7.4437022519099116E-2</v>
      </c>
      <c r="Z499" s="32"/>
    </row>
    <row r="500" spans="21:26">
      <c r="U500" t="s">
        <v>611</v>
      </c>
      <c r="V500" s="1">
        <v>77414.92</v>
      </c>
      <c r="W500" s="24">
        <f t="shared" si="18"/>
        <v>6.6238426869544842E-3</v>
      </c>
      <c r="X500" s="1">
        <v>1348.35</v>
      </c>
      <c r="Y500" s="24">
        <f t="shared" si="19"/>
        <v>3.9088675452312316E-3</v>
      </c>
      <c r="Z500" s="32"/>
    </row>
    <row r="501" spans="21:26">
      <c r="U501" t="s">
        <v>612</v>
      </c>
      <c r="V501" s="1">
        <v>75364.69</v>
      </c>
      <c r="W501" s="24">
        <f t="shared" si="18"/>
        <v>-2.6483654572012627E-2</v>
      </c>
      <c r="X501" s="1">
        <v>1335.3</v>
      </c>
      <c r="Y501" s="24">
        <f t="shared" si="19"/>
        <v>-9.6784959394815573E-3</v>
      </c>
      <c r="Z501" s="32"/>
    </row>
    <row r="502" spans="21:26">
      <c r="U502" t="s">
        <v>613</v>
      </c>
      <c r="V502" s="1">
        <v>75157.259999999995</v>
      </c>
      <c r="W502" s="24">
        <f t="shared" si="18"/>
        <v>-2.7523499400051721E-3</v>
      </c>
      <c r="X502" s="1">
        <v>1311.65</v>
      </c>
      <c r="Y502" s="24">
        <f t="shared" si="19"/>
        <v>-1.7711375720811717E-2</v>
      </c>
      <c r="Z502" s="32"/>
    </row>
    <row r="503" spans="21:26">
      <c r="U503" t="s">
        <v>614</v>
      </c>
      <c r="V503" s="1">
        <v>78553.2</v>
      </c>
      <c r="W503" s="24">
        <f t="shared" si="18"/>
        <v>4.5184457230079911E-2</v>
      </c>
      <c r="X503" s="1">
        <v>1406.7</v>
      </c>
      <c r="Y503" s="24">
        <f t="shared" si="19"/>
        <v>7.2465977966683193E-2</v>
      </c>
      <c r="Z503" s="32"/>
    </row>
    <row r="504" spans="21:26">
      <c r="U504" t="s">
        <v>615</v>
      </c>
      <c r="V504" s="1">
        <v>79212.53</v>
      </c>
      <c r="W504" s="24">
        <f t="shared" si="18"/>
        <v>8.39342000071297E-3</v>
      </c>
      <c r="X504" s="1">
        <v>1404.8</v>
      </c>
      <c r="Y504" s="24">
        <f t="shared" si="19"/>
        <v>-1.3506788938650871E-3</v>
      </c>
      <c r="Z504" s="32"/>
    </row>
    <row r="505" spans="21:26">
      <c r="U505" t="s">
        <v>616</v>
      </c>
      <c r="V505" s="1">
        <v>80501.990000000005</v>
      </c>
      <c r="W505" s="24">
        <f t="shared" si="18"/>
        <v>1.6278485234596074E-2</v>
      </c>
      <c r="X505" s="1">
        <v>1432.4</v>
      </c>
      <c r="Y505" s="24">
        <f t="shared" si="19"/>
        <v>1.9646924829157308E-2</v>
      </c>
      <c r="Z505" s="32"/>
    </row>
    <row r="506" spans="21:26">
      <c r="U506" t="s">
        <v>617</v>
      </c>
      <c r="V506" s="1">
        <v>79454.47</v>
      </c>
      <c r="W506" s="24">
        <f t="shared" si="18"/>
        <v>-1.3012349135717027E-2</v>
      </c>
      <c r="X506" s="1">
        <v>1388.9</v>
      </c>
      <c r="Y506" s="24">
        <f t="shared" si="19"/>
        <v>-3.0368612119519689E-2</v>
      </c>
      <c r="Z506" s="32"/>
    </row>
    <row r="507" spans="21:26">
      <c r="U507" t="s">
        <v>618</v>
      </c>
      <c r="V507" s="1">
        <v>82330.59</v>
      </c>
      <c r="W507" s="24">
        <f t="shared" si="18"/>
        <v>3.6198341012154467E-2</v>
      </c>
      <c r="X507" s="1">
        <v>1454</v>
      </c>
      <c r="Y507" s="24">
        <f t="shared" si="19"/>
        <v>4.6871625026999819E-2</v>
      </c>
      <c r="Z507" s="32"/>
    </row>
    <row r="508" spans="21:26">
      <c r="U508" t="s">
        <v>619</v>
      </c>
      <c r="V508" s="1">
        <v>81721.08</v>
      </c>
      <c r="W508" s="24">
        <f t="shared" si="18"/>
        <v>-7.4032021390834091E-3</v>
      </c>
      <c r="X508" s="1">
        <v>1449.8</v>
      </c>
      <c r="Y508" s="24">
        <f t="shared" si="19"/>
        <v>-2.8885832187069971E-3</v>
      </c>
      <c r="Z508" s="32"/>
    </row>
    <row r="509" spans="21:26">
      <c r="U509" t="s">
        <v>620</v>
      </c>
      <c r="V509" s="1">
        <v>81451.009999999995</v>
      </c>
      <c r="W509" s="24">
        <f t="shared" si="18"/>
        <v>-3.3047776656892625E-3</v>
      </c>
      <c r="X509" s="1">
        <v>1445.8</v>
      </c>
      <c r="Y509" s="24">
        <f t="shared" si="19"/>
        <v>-2.759001241550596E-3</v>
      </c>
      <c r="Z509" s="32"/>
    </row>
    <row r="510" spans="21:26">
      <c r="U510" t="s">
        <v>621</v>
      </c>
      <c r="V510" s="1">
        <v>82188.990000000005</v>
      </c>
      <c r="W510" s="24">
        <f t="shared" si="18"/>
        <v>9.0604155798683639E-3</v>
      </c>
      <c r="X510" s="1">
        <v>1459.7</v>
      </c>
      <c r="Y510" s="24">
        <f t="shared" si="19"/>
        <v>9.6140545026974777E-3</v>
      </c>
      <c r="Z510" s="32"/>
    </row>
    <row r="511" spans="21:26">
      <c r="U511" t="s">
        <v>622</v>
      </c>
      <c r="V511" s="1">
        <v>81118.600000000006</v>
      </c>
      <c r="W511" s="24">
        <f t="shared" si="18"/>
        <v>-1.3023520546973533E-2</v>
      </c>
      <c r="X511" s="1">
        <v>1416.1</v>
      </c>
      <c r="Y511" s="24">
        <f t="shared" si="19"/>
        <v>-2.9869151195451193E-2</v>
      </c>
      <c r="Z511" s="32"/>
    </row>
    <row r="512" spans="21:26">
      <c r="U512" t="s">
        <v>623</v>
      </c>
      <c r="V512" s="1">
        <v>82408.17</v>
      </c>
      <c r="W512" s="24">
        <f t="shared" si="18"/>
        <v>1.5897340437334817E-2</v>
      </c>
      <c r="X512" s="1">
        <v>1427.1</v>
      </c>
      <c r="Y512" s="24">
        <f t="shared" si="19"/>
        <v>7.7678130075560237E-3</v>
      </c>
      <c r="Z512" s="32"/>
    </row>
    <row r="513" spans="21:26">
      <c r="U513" t="s">
        <v>624</v>
      </c>
      <c r="V513" s="1">
        <v>84058.9</v>
      </c>
      <c r="W513" s="24">
        <f t="shared" si="18"/>
        <v>2.0031144970213521E-2</v>
      </c>
      <c r="X513" s="1">
        <v>1462.2</v>
      </c>
      <c r="Y513" s="24">
        <f t="shared" si="19"/>
        <v>2.4595333193189184E-2</v>
      </c>
      <c r="Z513" s="32"/>
    </row>
    <row r="514" spans="21:26">
      <c r="U514" t="s">
        <v>625</v>
      </c>
      <c r="V514" s="1">
        <v>83432.89</v>
      </c>
      <c r="W514" s="24">
        <f t="shared" si="18"/>
        <v>-7.4472780395650195E-3</v>
      </c>
      <c r="X514" s="1">
        <v>1442.8</v>
      </c>
      <c r="Y514" s="24">
        <f t="shared" si="19"/>
        <v>-1.3267678840104047E-2</v>
      </c>
      <c r="Z514" s="32"/>
    </row>
    <row r="515" spans="21:26">
      <c r="U515" t="s">
        <v>626</v>
      </c>
      <c r="V515" s="1">
        <v>82500.47</v>
      </c>
      <c r="W515" s="24">
        <f t="shared" si="18"/>
        <v>-1.1175688628309532E-2</v>
      </c>
      <c r="X515" s="1">
        <v>1421.9</v>
      </c>
      <c r="Y515" s="24">
        <f t="shared" si="19"/>
        <v>-1.4485722206819984E-2</v>
      </c>
      <c r="Z515" s="32"/>
    </row>
    <row r="516" spans="21:26">
      <c r="U516" t="s">
        <v>627</v>
      </c>
      <c r="V516" s="1">
        <v>81757.73</v>
      </c>
      <c r="W516" s="24">
        <f t="shared" si="18"/>
        <v>-9.0028578019010208E-3</v>
      </c>
      <c r="X516" s="1">
        <v>1425.8</v>
      </c>
      <c r="Y516" s="24">
        <f t="shared" si="19"/>
        <v>2.7428089176453341E-3</v>
      </c>
      <c r="Z516" s="32"/>
    </row>
    <row r="517" spans="21:26">
      <c r="U517" t="s">
        <v>628</v>
      </c>
      <c r="V517" s="1">
        <v>81463.09</v>
      </c>
      <c r="W517" s="24">
        <f t="shared" si="18"/>
        <v>-3.6038182566957566E-3</v>
      </c>
      <c r="X517" s="1">
        <v>1477.1</v>
      </c>
      <c r="Y517" s="24">
        <f t="shared" si="19"/>
        <v>3.5979800813578322E-2</v>
      </c>
      <c r="Z517" s="32"/>
    </row>
    <row r="518" spans="21:26">
      <c r="U518" t="s">
        <v>629</v>
      </c>
      <c r="V518" s="1">
        <v>80599.91</v>
      </c>
      <c r="W518" s="24">
        <f t="shared" si="18"/>
        <v>-1.0595964380923806E-2</v>
      </c>
      <c r="X518" s="1">
        <v>1471.6</v>
      </c>
      <c r="Y518" s="24">
        <f t="shared" si="19"/>
        <v>-3.7235122875906024E-3</v>
      </c>
      <c r="Z518" s="32"/>
    </row>
    <row r="519" spans="21:26">
      <c r="U519" t="s">
        <v>630</v>
      </c>
      <c r="V519" s="1">
        <v>79857.789999999994</v>
      </c>
      <c r="W519" s="24">
        <f t="shared" si="18"/>
        <v>-9.2074544500112543E-3</v>
      </c>
      <c r="X519" s="1">
        <v>1435.9</v>
      </c>
      <c r="Y519" s="24">
        <f t="shared" si="19"/>
        <v>-2.4259309594998557E-2</v>
      </c>
      <c r="Z519" s="32"/>
    </row>
    <row r="520" spans="21:26">
      <c r="U520" t="s">
        <v>631</v>
      </c>
      <c r="V520" s="1">
        <v>80597.66</v>
      </c>
      <c r="W520" s="24">
        <f t="shared" si="18"/>
        <v>9.2648444190606138E-3</v>
      </c>
      <c r="X520" s="1">
        <v>1427.3</v>
      </c>
      <c r="Y520" s="24">
        <f t="shared" si="19"/>
        <v>-5.9892750191518074E-3</v>
      </c>
      <c r="Z520" s="32"/>
    </row>
    <row r="521" spans="21:26">
      <c r="U521" t="s">
        <v>632</v>
      </c>
      <c r="V521" s="1">
        <v>81306.850000000006</v>
      </c>
      <c r="W521" s="24">
        <f t="shared" si="18"/>
        <v>8.7991388335593168E-3</v>
      </c>
      <c r="X521" s="1">
        <v>1436.4</v>
      </c>
      <c r="Y521" s="24">
        <f t="shared" si="19"/>
        <v>6.3756743501717228E-3</v>
      </c>
      <c r="Z521" s="32"/>
    </row>
    <row r="522" spans="21:26">
      <c r="U522" t="s">
        <v>633</v>
      </c>
      <c r="V522" s="1">
        <v>79809.649999999994</v>
      </c>
      <c r="W522" s="24">
        <f t="shared" si="18"/>
        <v>-1.8414192654124584E-2</v>
      </c>
      <c r="X522" s="1">
        <v>1397.8</v>
      </c>
      <c r="Y522" s="24">
        <f t="shared" si="19"/>
        <v>-2.687273739905327E-2</v>
      </c>
      <c r="Z522" s="32"/>
    </row>
    <row r="523" spans="21:26">
      <c r="U523" t="s">
        <v>634</v>
      </c>
      <c r="V523" s="1">
        <v>80710.759999999995</v>
      </c>
      <c r="W523" s="24">
        <f t="shared" ref="W523:W530" si="20">V523/V522-1</f>
        <v>1.1290739904259661E-2</v>
      </c>
      <c r="X523" s="1">
        <v>1402.8</v>
      </c>
      <c r="Y523" s="24">
        <f t="shared" ref="Y523:Y530" si="21">X523/X522-1</f>
        <v>3.5770496494491599E-3</v>
      </c>
      <c r="Z523" s="32"/>
    </row>
    <row r="524" spans="21:26">
      <c r="U524" t="s">
        <v>635</v>
      </c>
      <c r="V524" s="1">
        <v>81904.7</v>
      </c>
      <c r="W524" s="24">
        <f t="shared" si="20"/>
        <v>1.4792823162611768E-2</v>
      </c>
      <c r="X524" s="1">
        <v>1417.7</v>
      </c>
      <c r="Y524" s="24">
        <f t="shared" si="21"/>
        <v>1.062161391502725E-2</v>
      </c>
      <c r="Z524" s="32"/>
    </row>
    <row r="525" spans="21:26">
      <c r="U525" t="s">
        <v>636</v>
      </c>
      <c r="V525" s="1">
        <v>82626.23</v>
      </c>
      <c r="W525" s="24">
        <f t="shared" si="20"/>
        <v>8.8093845652326142E-3</v>
      </c>
      <c r="X525" s="1">
        <v>1402.2</v>
      </c>
      <c r="Y525" s="24">
        <f t="shared" si="21"/>
        <v>-1.0933201664668157E-2</v>
      </c>
      <c r="Z525" s="32"/>
    </row>
    <row r="526" spans="21:26">
      <c r="U526" t="s">
        <v>637</v>
      </c>
      <c r="V526" s="1">
        <v>80426.460000000006</v>
      </c>
      <c r="W526" s="24">
        <f t="shared" si="20"/>
        <v>-2.662314376439523E-2</v>
      </c>
      <c r="X526" s="1">
        <v>1359.6</v>
      </c>
      <c r="Y526" s="24">
        <f t="shared" si="21"/>
        <v>-3.0380830124090763E-2</v>
      </c>
      <c r="Z526" s="32"/>
    </row>
    <row r="527" spans="21:26">
      <c r="U527" t="s">
        <v>638</v>
      </c>
      <c r="V527" s="1">
        <v>81207.17</v>
      </c>
      <c r="W527" s="24">
        <f t="shared" si="20"/>
        <v>9.7071287235568349E-3</v>
      </c>
      <c r="X527" s="1">
        <v>1365.2</v>
      </c>
      <c r="Y527" s="24">
        <f t="shared" si="21"/>
        <v>4.1188584877906997E-3</v>
      </c>
      <c r="Z527" s="32"/>
    </row>
    <row r="528" spans="21:26">
      <c r="U528" t="s">
        <v>639</v>
      </c>
      <c r="V528" s="1">
        <v>82500.820000000007</v>
      </c>
      <c r="W528" s="24">
        <f t="shared" si="20"/>
        <v>1.5930243597948479E-2</v>
      </c>
      <c r="X528" s="1">
        <v>1380.3</v>
      </c>
      <c r="Y528" s="24">
        <f t="shared" si="21"/>
        <v>1.1060650454145948E-2</v>
      </c>
      <c r="Z528" s="32"/>
    </row>
    <row r="529" spans="21:26">
      <c r="U529" t="s">
        <v>640</v>
      </c>
      <c r="V529" s="1">
        <v>83952.19</v>
      </c>
      <c r="W529" s="24">
        <f t="shared" si="20"/>
        <v>1.7592188780668927E-2</v>
      </c>
      <c r="X529" s="1">
        <v>1436.6</v>
      </c>
      <c r="Y529" s="24">
        <f t="shared" si="21"/>
        <v>4.0788234441788029E-2</v>
      </c>
      <c r="Z529" s="32"/>
    </row>
    <row r="530" spans="21:26">
      <c r="U530" t="s">
        <v>641</v>
      </c>
      <c r="V530" s="1">
        <v>84211.88</v>
      </c>
      <c r="W530" s="24">
        <f t="shared" si="20"/>
        <v>3.0933082269801737E-3</v>
      </c>
      <c r="X530" s="1">
        <v>1377.7</v>
      </c>
      <c r="Y530" s="24">
        <f t="shared" si="21"/>
        <v>-4.0999582347208574E-2</v>
      </c>
      <c r="Z530" s="32"/>
    </row>
    <row r="531" spans="21:26">
      <c r="U531" s="23"/>
      <c r="V531" s="25"/>
      <c r="W531" s="24"/>
      <c r="X531" s="25"/>
      <c r="Y531" s="24"/>
      <c r="Z531" s="32"/>
    </row>
    <row r="532" spans="21:26">
      <c r="U532" s="23"/>
      <c r="V532" s="25"/>
      <c r="W532" s="24"/>
      <c r="X532" s="25"/>
      <c r="Y532" s="24"/>
      <c r="Z532" s="32"/>
    </row>
    <row r="533" spans="21:26">
      <c r="U533" s="23"/>
      <c r="V533" s="25"/>
      <c r="W533" s="24"/>
      <c r="X533" s="25"/>
      <c r="Y533" s="24"/>
      <c r="Z533" s="32"/>
    </row>
    <row r="534" spans="21:26">
      <c r="U534" s="23"/>
      <c r="V534" s="25"/>
      <c r="W534" s="24"/>
      <c r="X534" s="25"/>
      <c r="Y534" s="24"/>
      <c r="Z534" s="32"/>
    </row>
    <row r="535" spans="21:26">
      <c r="U535" s="23"/>
      <c r="V535" s="25"/>
      <c r="W535" s="24"/>
      <c r="X535" s="25"/>
      <c r="Y535" s="24"/>
      <c r="Z535" s="32"/>
    </row>
    <row r="536" spans="21:26">
      <c r="U536" s="23"/>
      <c r="V536" s="25"/>
      <c r="W536" s="24"/>
      <c r="X536" s="25"/>
      <c r="Y536" s="24"/>
      <c r="Z536" s="32"/>
    </row>
    <row r="537" spans="21:26">
      <c r="U537" s="23"/>
      <c r="V537" s="25"/>
      <c r="W537" s="24"/>
      <c r="X537" s="25"/>
      <c r="Y537" s="24"/>
      <c r="Z537" s="32"/>
    </row>
    <row r="538" spans="21:26">
      <c r="U538" s="23"/>
      <c r="V538" s="25"/>
      <c r="W538" s="24"/>
      <c r="X538" s="25"/>
      <c r="Y538" s="24"/>
      <c r="Z538" s="32"/>
    </row>
    <row r="539" spans="21:26">
      <c r="U539" s="23"/>
      <c r="V539" s="25"/>
      <c r="W539" s="24"/>
      <c r="X539" s="25"/>
      <c r="Y539" s="24"/>
      <c r="Z539" s="32"/>
    </row>
    <row r="540" spans="21:26">
      <c r="U540" s="23"/>
      <c r="V540" s="25"/>
      <c r="W540" s="24"/>
      <c r="X540" s="25"/>
      <c r="Y540" s="24"/>
      <c r="Z540" s="32"/>
    </row>
    <row r="541" spans="21:26">
      <c r="U541" s="23"/>
      <c r="V541" s="25"/>
      <c r="W541" s="24"/>
      <c r="X541" s="25"/>
      <c r="Y541" s="24"/>
      <c r="Z541" s="32"/>
    </row>
    <row r="542" spans="21:26">
      <c r="U542" s="23"/>
      <c r="V542" s="25"/>
      <c r="W542" s="24"/>
      <c r="X542" s="25"/>
      <c r="Y542" s="24"/>
      <c r="Z542" s="32"/>
    </row>
    <row r="543" spans="21:26">
      <c r="U543" s="23"/>
      <c r="V543" s="25"/>
      <c r="W543" s="24"/>
      <c r="X543" s="25"/>
      <c r="Y543" s="24"/>
      <c r="Z543" s="32"/>
    </row>
    <row r="544" spans="21:26">
      <c r="U544" s="23"/>
      <c r="V544" s="25"/>
      <c r="W544" s="24"/>
      <c r="X544" s="25"/>
      <c r="Y544" s="24"/>
      <c r="Z544" s="32"/>
    </row>
    <row r="545" spans="21:26">
      <c r="U545" s="23"/>
      <c r="V545" s="25"/>
      <c r="W545" s="24"/>
      <c r="X545" s="25"/>
      <c r="Y545" s="24"/>
      <c r="Z545" s="32"/>
    </row>
    <row r="546" spans="21:26">
      <c r="U546" s="23"/>
      <c r="V546" s="25"/>
      <c r="W546" s="24"/>
      <c r="X546" s="25"/>
      <c r="Y546" s="24"/>
      <c r="Z546" s="32"/>
    </row>
    <row r="547" spans="21:26">
      <c r="U547" s="23"/>
      <c r="V547" s="25"/>
      <c r="W547" s="24"/>
      <c r="X547" s="25"/>
      <c r="Y547" s="24"/>
      <c r="Z547" s="32"/>
    </row>
    <row r="548" spans="21:26">
      <c r="U548" s="23"/>
      <c r="V548" s="25"/>
      <c r="W548" s="24"/>
      <c r="X548" s="25"/>
      <c r="Y548" s="24"/>
      <c r="Z548" s="32"/>
    </row>
    <row r="549" spans="21:26">
      <c r="U549" s="23"/>
      <c r="V549" s="25"/>
      <c r="W549" s="24"/>
      <c r="X549" s="25"/>
      <c r="Y549" s="24"/>
      <c r="Z549" s="32"/>
    </row>
    <row r="550" spans="21:26">
      <c r="U550" s="23"/>
      <c r="V550" s="25"/>
      <c r="W550" s="24"/>
      <c r="X550" s="25"/>
      <c r="Y550" s="24"/>
      <c r="Z550" s="32"/>
    </row>
    <row r="551" spans="21:26">
      <c r="U551" s="23"/>
      <c r="V551" s="25"/>
      <c r="W551" s="24"/>
      <c r="X551" s="25"/>
      <c r="Y551" s="24"/>
      <c r="Z551" s="32"/>
    </row>
    <row r="552" spans="21:26">
      <c r="U552" s="23"/>
      <c r="V552" s="25"/>
      <c r="W552" s="24"/>
      <c r="X552" s="25"/>
      <c r="Y552" s="24"/>
      <c r="Z552" s="32"/>
    </row>
    <row r="553" spans="21:26">
      <c r="U553" s="23"/>
      <c r="V553" s="25"/>
      <c r="W553" s="24"/>
      <c r="X553" s="25"/>
      <c r="Y553" s="24"/>
      <c r="Z553" s="32"/>
    </row>
    <row r="554" spans="21:26">
      <c r="U554" s="23"/>
      <c r="V554" s="25"/>
      <c r="W554" s="24"/>
      <c r="X554" s="25"/>
      <c r="Y554" s="24"/>
      <c r="Z554" s="32"/>
    </row>
    <row r="555" spans="21:26">
      <c r="U555" s="23"/>
      <c r="V555" s="25"/>
      <c r="W555" s="24"/>
      <c r="X555" s="25"/>
      <c r="Y555" s="24"/>
      <c r="Z555" s="32"/>
    </row>
    <row r="556" spans="21:26">
      <c r="U556" s="23"/>
      <c r="V556" s="25"/>
      <c r="W556" s="24"/>
      <c r="X556" s="25"/>
      <c r="Y556" s="24"/>
      <c r="Z556" s="32"/>
    </row>
    <row r="557" spans="21:26">
      <c r="U557" s="23"/>
      <c r="V557" s="25"/>
      <c r="W557" s="24"/>
      <c r="X557" s="25"/>
      <c r="Y557" s="24"/>
      <c r="Z557" s="32"/>
    </row>
    <row r="558" spans="21:26">
      <c r="U558" s="23"/>
      <c r="V558" s="25"/>
      <c r="W558" s="24"/>
      <c r="X558" s="25"/>
      <c r="Y558" s="24"/>
      <c r="Z558" s="32"/>
    </row>
    <row r="559" spans="21:26">
      <c r="U559" s="23"/>
      <c r="V559" s="25"/>
      <c r="W559" s="24"/>
      <c r="X559" s="25"/>
      <c r="Y559" s="24"/>
      <c r="Z559" s="32"/>
    </row>
    <row r="560" spans="21:26">
      <c r="U560" s="23"/>
      <c r="V560" s="25"/>
      <c r="W560" s="24"/>
      <c r="X560" s="25"/>
      <c r="Y560" s="24"/>
      <c r="Z560" s="32"/>
    </row>
    <row r="561" spans="21:26">
      <c r="U561" s="23"/>
      <c r="V561" s="25"/>
      <c r="W561" s="24"/>
      <c r="X561" s="25"/>
      <c r="Y561" s="24"/>
      <c r="Z561" s="32"/>
    </row>
    <row r="562" spans="21:26">
      <c r="U562" s="23"/>
      <c r="V562" s="25"/>
      <c r="W562" s="24"/>
      <c r="X562" s="25"/>
      <c r="Y562" s="24"/>
      <c r="Z562" s="32"/>
    </row>
    <row r="563" spans="21:26">
      <c r="U563" s="23"/>
      <c r="V563" s="25"/>
      <c r="W563" s="24"/>
      <c r="X563" s="25"/>
      <c r="Y563" s="24"/>
      <c r="Z563" s="32"/>
    </row>
    <row r="564" spans="21:26">
      <c r="U564" s="23"/>
      <c r="V564" s="25"/>
      <c r="W564" s="24"/>
      <c r="X564" s="25"/>
      <c r="Y564" s="24"/>
      <c r="Z564" s="32"/>
    </row>
    <row r="565" spans="21:26">
      <c r="U565" s="23"/>
      <c r="V565" s="25"/>
      <c r="W565" s="24"/>
      <c r="X565" s="25"/>
      <c r="Y565" s="24"/>
      <c r="Z565" s="32"/>
    </row>
    <row r="566" spans="21:26">
      <c r="U566" s="23"/>
      <c r="V566" s="25"/>
      <c r="W566" s="24"/>
      <c r="X566" s="25"/>
      <c r="Y566" s="24"/>
      <c r="Z566" s="32"/>
    </row>
    <row r="567" spans="21:26">
      <c r="U567" s="23"/>
      <c r="V567" s="25"/>
      <c r="W567" s="24"/>
      <c r="X567" s="25"/>
      <c r="Y567" s="24"/>
      <c r="Z567" s="32"/>
    </row>
    <row r="568" spans="21:26">
      <c r="U568" s="23"/>
      <c r="V568" s="25"/>
      <c r="W568" s="24"/>
      <c r="X568" s="25"/>
      <c r="Y568" s="24"/>
      <c r="Z568" s="32"/>
    </row>
    <row r="569" spans="21:26">
      <c r="U569" s="23"/>
      <c r="V569" s="25"/>
      <c r="W569" s="24"/>
      <c r="X569" s="25"/>
      <c r="Y569" s="24"/>
      <c r="Z569" s="32"/>
    </row>
    <row r="570" spans="21:26">
      <c r="U570" s="23"/>
      <c r="V570" s="25"/>
      <c r="W570" s="24"/>
      <c r="X570" s="25"/>
      <c r="Y570" s="24"/>
      <c r="Z570" s="32"/>
    </row>
    <row r="571" spans="21:26">
      <c r="U571" s="23"/>
      <c r="V571" s="25"/>
      <c r="W571" s="24"/>
      <c r="X571" s="25"/>
      <c r="Y571" s="24"/>
      <c r="Z571" s="32"/>
    </row>
    <row r="572" spans="21:26">
      <c r="U572" s="23"/>
      <c r="V572" s="25"/>
      <c r="W572" s="24"/>
      <c r="X572" s="25"/>
      <c r="Y572" s="24"/>
      <c r="Z572" s="32"/>
    </row>
    <row r="573" spans="21:26">
      <c r="U573" s="23"/>
      <c r="V573" s="25"/>
      <c r="W573" s="24"/>
      <c r="X573" s="25"/>
      <c r="Y573" s="24"/>
      <c r="Z573" s="32"/>
    </row>
    <row r="574" spans="21:26">
      <c r="U574" s="23"/>
      <c r="V574" s="25"/>
      <c r="W574" s="24"/>
      <c r="X574" s="25"/>
      <c r="Y574" s="24"/>
      <c r="Z574" s="32"/>
    </row>
    <row r="575" spans="21:26">
      <c r="U575" s="23"/>
      <c r="V575" s="25"/>
      <c r="W575" s="24"/>
      <c r="X575" s="25"/>
      <c r="Y575" s="24"/>
      <c r="Z575" s="32"/>
    </row>
    <row r="576" spans="21:26">
      <c r="U576" s="23"/>
      <c r="V576" s="25"/>
      <c r="W576" s="24"/>
      <c r="X576" s="25"/>
      <c r="Y576" s="24"/>
      <c r="Z576" s="32"/>
    </row>
    <row r="577" spans="21:26">
      <c r="U577" s="23"/>
      <c r="V577" s="25"/>
      <c r="W577" s="24"/>
      <c r="X577" s="25"/>
      <c r="Y577" s="24"/>
      <c r="Z577" s="32"/>
    </row>
    <row r="578" spans="21:26">
      <c r="U578" s="23"/>
      <c r="V578" s="25"/>
      <c r="W578" s="24"/>
      <c r="X578" s="25"/>
      <c r="Y578" s="24"/>
      <c r="Z578" s="32"/>
    </row>
    <row r="579" spans="21:26">
      <c r="U579" s="23"/>
      <c r="V579" s="25"/>
      <c r="W579" s="24"/>
      <c r="X579" s="25"/>
      <c r="Y579" s="24"/>
      <c r="Z579" s="32"/>
    </row>
    <row r="580" spans="21:26">
      <c r="U580" s="23"/>
      <c r="V580" s="25"/>
      <c r="W580" s="24"/>
      <c r="X580" s="25"/>
      <c r="Y580" s="24"/>
      <c r="Z580" s="32"/>
    </row>
    <row r="581" spans="21:26">
      <c r="U581" s="23"/>
      <c r="V581" s="25"/>
      <c r="W581" s="24"/>
      <c r="X581" s="25"/>
      <c r="Y581" s="24"/>
      <c r="Z581" s="32"/>
    </row>
    <row r="582" spans="21:26">
      <c r="U582" s="23"/>
      <c r="V582" s="25"/>
      <c r="W582" s="24"/>
      <c r="X582" s="25"/>
      <c r="Y582" s="24"/>
      <c r="Z582" s="32"/>
    </row>
    <row r="583" spans="21:26">
      <c r="U583" s="23"/>
      <c r="V583" s="25"/>
      <c r="W583" s="24"/>
      <c r="X583" s="25"/>
      <c r="Y583" s="24"/>
      <c r="Z583" s="32"/>
    </row>
    <row r="584" spans="21:26">
      <c r="U584" s="23"/>
      <c r="V584" s="25"/>
      <c r="W584" s="24"/>
      <c r="X584" s="25"/>
      <c r="Y584" s="24"/>
      <c r="Z584" s="32"/>
    </row>
    <row r="585" spans="21:26">
      <c r="U585" s="23"/>
      <c r="V585" s="25"/>
      <c r="W585" s="24"/>
      <c r="X585" s="25"/>
      <c r="Y585" s="24"/>
      <c r="Z585" s="32"/>
    </row>
    <row r="586" spans="21:26">
      <c r="U586" s="23"/>
      <c r="V586" s="25"/>
      <c r="W586" s="24"/>
      <c r="X586" s="25"/>
      <c r="Y586" s="24"/>
      <c r="Z586" s="32"/>
    </row>
    <row r="587" spans="21:26">
      <c r="U587" s="23"/>
      <c r="V587" s="25"/>
      <c r="W587" s="24"/>
      <c r="X587" s="25"/>
      <c r="Y587" s="24"/>
      <c r="Z587" s="32"/>
    </row>
    <row r="588" spans="21:26">
      <c r="U588" s="23"/>
      <c r="V588" s="25"/>
      <c r="W588" s="24"/>
      <c r="X588" s="25"/>
      <c r="Y588" s="24"/>
      <c r="Z588" s="32"/>
    </row>
    <row r="589" spans="21:26">
      <c r="U589" s="23"/>
      <c r="V589" s="25"/>
      <c r="W589" s="24"/>
      <c r="X589" s="25"/>
      <c r="Y589" s="24"/>
      <c r="Z589" s="32"/>
    </row>
    <row r="590" spans="21:26">
      <c r="U590" s="23"/>
      <c r="V590" s="25"/>
      <c r="W590" s="24"/>
      <c r="X590" s="25"/>
      <c r="Y590" s="24"/>
      <c r="Z590" s="32"/>
    </row>
    <row r="591" spans="21:26">
      <c r="U591" s="23"/>
      <c r="V591" s="25"/>
      <c r="W591" s="24"/>
      <c r="X591" s="25"/>
      <c r="Y591" s="24"/>
      <c r="Z591" s="32"/>
    </row>
    <row r="592" spans="21:26">
      <c r="U592" s="23"/>
      <c r="V592" s="25"/>
      <c r="W592" s="24"/>
      <c r="X592" s="25"/>
      <c r="Y592" s="24"/>
      <c r="Z592" s="32"/>
    </row>
    <row r="593" spans="21:26">
      <c r="U593" s="23"/>
      <c r="V593" s="25"/>
      <c r="W593" s="24"/>
      <c r="X593" s="25"/>
      <c r="Y593" s="24"/>
      <c r="Z593" s="32"/>
    </row>
    <row r="594" spans="21:26">
      <c r="U594" s="23"/>
      <c r="V594" s="25"/>
      <c r="W594" s="24"/>
      <c r="X594" s="25"/>
      <c r="Y594" s="24"/>
      <c r="Z594" s="32"/>
    </row>
    <row r="595" spans="21:26">
      <c r="U595" s="23"/>
      <c r="V595" s="25"/>
      <c r="W595" s="24"/>
      <c r="X595" s="25"/>
      <c r="Y595" s="24"/>
      <c r="Z595" s="32"/>
    </row>
    <row r="596" spans="21:26">
      <c r="U596" s="23"/>
      <c r="V596" s="25"/>
      <c r="W596" s="24"/>
      <c r="X596" s="25"/>
      <c r="Y596" s="24"/>
      <c r="Z596" s="32"/>
    </row>
    <row r="597" spans="21:26">
      <c r="U597" s="23"/>
      <c r="V597" s="25"/>
      <c r="W597" s="24"/>
      <c r="X597" s="25"/>
      <c r="Y597" s="24"/>
      <c r="Z597" s="32"/>
    </row>
    <row r="598" spans="21:26">
      <c r="U598" s="23"/>
      <c r="V598" s="25"/>
      <c r="W598" s="24"/>
      <c r="X598" s="25"/>
      <c r="Y598" s="24"/>
      <c r="Z598" s="32"/>
    </row>
    <row r="599" spans="21:26">
      <c r="U599" s="23"/>
      <c r="V599" s="25"/>
      <c r="W599" s="24"/>
      <c r="X599" s="25"/>
      <c r="Y599" s="24"/>
      <c r="Z599" s="32"/>
    </row>
    <row r="600" spans="21:26">
      <c r="U600" s="23"/>
      <c r="V600" s="25"/>
      <c r="W600" s="24"/>
      <c r="X600" s="25"/>
      <c r="Y600" s="24"/>
      <c r="Z600" s="32"/>
    </row>
    <row r="601" spans="21:26">
      <c r="U601" s="23"/>
      <c r="V601" s="25"/>
      <c r="W601" s="24"/>
      <c r="X601" s="25"/>
      <c r="Y601" s="24"/>
      <c r="Z601" s="32"/>
    </row>
    <row r="602" spans="21:26">
      <c r="U602" s="23"/>
      <c r="V602" s="25"/>
      <c r="W602" s="24"/>
      <c r="X602" s="25"/>
      <c r="Y602" s="24"/>
      <c r="Z602" s="32"/>
    </row>
    <row r="603" spans="21:26">
      <c r="U603" s="23"/>
      <c r="V603" s="25"/>
      <c r="W603" s="24"/>
      <c r="X603" s="25"/>
      <c r="Y603" s="24"/>
      <c r="Z603" s="32"/>
    </row>
    <row r="604" spans="21:26">
      <c r="U604" s="23"/>
      <c r="V604" s="25"/>
      <c r="W604" s="24"/>
      <c r="X604" s="25"/>
      <c r="Y604" s="24"/>
      <c r="Z604" s="32"/>
    </row>
    <row r="605" spans="21:26">
      <c r="U605" s="23"/>
      <c r="V605" s="25"/>
      <c r="W605" s="24"/>
      <c r="X605" s="25"/>
      <c r="Y605" s="24"/>
      <c r="Z605" s="32"/>
    </row>
    <row r="606" spans="21:26">
      <c r="U606" s="23"/>
      <c r="V606" s="25"/>
      <c r="W606" s="24"/>
      <c r="X606" s="25"/>
      <c r="Y606" s="24"/>
      <c r="Z606" s="32"/>
    </row>
    <row r="607" spans="21:26">
      <c r="U607" s="23"/>
      <c r="V607" s="25"/>
      <c r="W607" s="24"/>
      <c r="X607" s="25"/>
      <c r="Y607" s="24"/>
      <c r="Z607" s="32"/>
    </row>
    <row r="608" spans="21:26">
      <c r="U608" s="23"/>
      <c r="V608" s="25"/>
      <c r="W608" s="24"/>
      <c r="X608" s="25"/>
      <c r="Y608" s="24"/>
      <c r="Z608" s="32"/>
    </row>
    <row r="609" spans="21:26">
      <c r="U609" s="23"/>
      <c r="V609" s="25"/>
      <c r="W609" s="24"/>
      <c r="X609" s="25"/>
      <c r="Y609" s="24"/>
      <c r="Z609" s="32"/>
    </row>
    <row r="610" spans="21:26">
      <c r="U610" s="23"/>
      <c r="V610" s="25"/>
      <c r="W610" s="24"/>
      <c r="X610" s="25"/>
      <c r="Y610" s="24"/>
      <c r="Z610" s="32"/>
    </row>
    <row r="611" spans="21:26">
      <c r="U611" s="23"/>
      <c r="V611" s="25"/>
      <c r="W611" s="24"/>
      <c r="X611" s="25"/>
      <c r="Y611" s="24"/>
      <c r="Z611" s="32"/>
    </row>
    <row r="612" spans="21:26">
      <c r="U612" s="23"/>
      <c r="V612" s="25"/>
      <c r="W612" s="24"/>
      <c r="X612" s="25"/>
      <c r="Y612" s="24"/>
      <c r="Z612" s="32"/>
    </row>
    <row r="613" spans="21:26">
      <c r="U613" s="23"/>
      <c r="V613" s="25"/>
      <c r="W613" s="24"/>
      <c r="X613" s="25"/>
      <c r="Y613" s="24"/>
      <c r="Z613" s="32"/>
    </row>
    <row r="614" spans="21:26">
      <c r="U614" s="23"/>
      <c r="V614" s="25"/>
      <c r="W614" s="24"/>
      <c r="X614" s="25"/>
      <c r="Y614" s="24"/>
      <c r="Z614" s="32"/>
    </row>
    <row r="615" spans="21:26">
      <c r="U615" s="23"/>
      <c r="V615" s="25"/>
      <c r="W615" s="24"/>
      <c r="X615" s="25"/>
      <c r="Y615" s="24"/>
      <c r="Z615" s="32"/>
    </row>
    <row r="616" spans="21:26">
      <c r="U616" s="23"/>
      <c r="V616" s="25"/>
      <c r="W616" s="24"/>
      <c r="X616" s="25"/>
      <c r="Y616" s="24"/>
      <c r="Z616" s="32"/>
    </row>
    <row r="617" spans="21:26">
      <c r="U617" s="23"/>
      <c r="V617" s="25"/>
      <c r="W617" s="24"/>
      <c r="X617" s="25"/>
      <c r="Y617" s="24"/>
      <c r="Z617" s="32"/>
    </row>
    <row r="618" spans="21:26">
      <c r="U618" s="23"/>
      <c r="V618" s="25"/>
      <c r="W618" s="24"/>
      <c r="X618" s="25"/>
      <c r="Y618" s="24"/>
      <c r="Z618" s="32"/>
    </row>
    <row r="619" spans="21:26">
      <c r="U619" s="23"/>
      <c r="V619" s="25"/>
      <c r="W619" s="24"/>
      <c r="X619" s="25"/>
      <c r="Y619" s="24"/>
      <c r="Z619" s="32"/>
    </row>
    <row r="620" spans="21:26">
      <c r="U620" s="23"/>
      <c r="V620" s="25"/>
      <c r="W620" s="24"/>
      <c r="X620" s="25"/>
      <c r="Y620" s="24"/>
      <c r="Z620" s="32"/>
    </row>
    <row r="621" spans="21:26">
      <c r="U621" s="23"/>
      <c r="V621" s="25"/>
      <c r="W621" s="24"/>
      <c r="X621" s="25"/>
      <c r="Y621" s="24"/>
      <c r="Z621" s="32"/>
    </row>
    <row r="622" spans="21:26">
      <c r="U622" s="23"/>
      <c r="V622" s="25"/>
      <c r="W622" s="24"/>
      <c r="X622" s="25"/>
      <c r="Y622" s="24"/>
      <c r="Z622" s="32"/>
    </row>
    <row r="623" spans="21:26">
      <c r="U623" s="23"/>
      <c r="V623" s="25"/>
      <c r="W623" s="24"/>
      <c r="X623" s="25"/>
      <c r="Y623" s="24"/>
      <c r="Z623" s="32"/>
    </row>
    <row r="624" spans="21:26">
      <c r="U624" s="23"/>
      <c r="V624" s="25"/>
      <c r="W624" s="24"/>
      <c r="X624" s="25"/>
      <c r="Y624" s="24"/>
      <c r="Z624" s="32"/>
    </row>
    <row r="625" spans="21:26">
      <c r="U625" s="23"/>
      <c r="V625" s="25"/>
      <c r="W625" s="24"/>
      <c r="X625" s="25"/>
      <c r="Y625" s="24"/>
      <c r="Z625" s="32"/>
    </row>
    <row r="626" spans="21:26">
      <c r="U626" s="23"/>
      <c r="V626" s="25"/>
      <c r="W626" s="24"/>
      <c r="X626" s="25"/>
      <c r="Y626" s="24"/>
      <c r="Z626" s="32"/>
    </row>
    <row r="627" spans="21:26">
      <c r="U627" s="23"/>
      <c r="V627" s="25"/>
      <c r="W627" s="24"/>
      <c r="X627" s="25"/>
      <c r="Y627" s="24"/>
      <c r="Z627" s="32"/>
    </row>
    <row r="628" spans="21:26">
      <c r="U628" s="23"/>
      <c r="V628" s="25"/>
      <c r="W628" s="24"/>
      <c r="X628" s="25"/>
      <c r="Y628" s="24"/>
      <c r="Z628" s="32"/>
    </row>
    <row r="629" spans="21:26">
      <c r="U629" s="23"/>
      <c r="V629" s="25"/>
      <c r="W629" s="24"/>
      <c r="X629" s="25"/>
      <c r="Y629" s="24"/>
      <c r="Z629" s="32"/>
    </row>
    <row r="630" spans="21:26">
      <c r="U630" s="23"/>
      <c r="V630" s="25"/>
      <c r="W630" s="24"/>
      <c r="X630" s="25"/>
      <c r="Y630" s="24"/>
      <c r="Z630" s="32"/>
    </row>
    <row r="631" spans="21:26">
      <c r="U631" s="23"/>
      <c r="V631" s="25"/>
      <c r="W631" s="24"/>
      <c r="X631" s="25"/>
      <c r="Y631" s="24"/>
      <c r="Z631" s="32"/>
    </row>
    <row r="632" spans="21:26">
      <c r="U632" s="23"/>
      <c r="V632" s="25"/>
      <c r="W632" s="24"/>
      <c r="X632" s="25"/>
      <c r="Y632" s="24"/>
      <c r="Z632" s="32"/>
    </row>
    <row r="633" spans="21:26">
      <c r="U633" s="23"/>
      <c r="V633" s="25"/>
      <c r="W633" s="24"/>
      <c r="X633" s="25"/>
      <c r="Y633" s="24"/>
      <c r="Z633" s="32"/>
    </row>
    <row r="634" spans="21:26">
      <c r="U634" s="23"/>
      <c r="V634" s="25"/>
      <c r="W634" s="24"/>
      <c r="X634" s="25"/>
      <c r="Y634" s="24"/>
      <c r="Z634" s="32"/>
    </row>
    <row r="635" spans="21:26">
      <c r="U635" s="23"/>
      <c r="V635" s="25"/>
      <c r="W635" s="24"/>
      <c r="X635" s="25"/>
      <c r="Y635" s="24"/>
      <c r="Z635" s="32"/>
    </row>
    <row r="636" spans="21:26">
      <c r="U636" s="23"/>
      <c r="V636" s="25"/>
      <c r="W636" s="24"/>
      <c r="X636" s="25"/>
      <c r="Y636" s="24"/>
      <c r="Z636" s="32"/>
    </row>
    <row r="637" spans="21:26">
      <c r="U637" s="23"/>
      <c r="V637" s="25"/>
      <c r="W637" s="24"/>
      <c r="X637" s="25"/>
      <c r="Y637" s="24"/>
      <c r="Z637" s="32"/>
    </row>
    <row r="638" spans="21:26">
      <c r="U638" s="23"/>
      <c r="V638" s="25"/>
      <c r="W638" s="24"/>
      <c r="X638" s="25"/>
      <c r="Y638" s="24"/>
      <c r="Z638" s="32"/>
    </row>
    <row r="639" spans="21:26">
      <c r="U639" s="23"/>
      <c r="V639" s="25"/>
      <c r="W639" s="24"/>
      <c r="X639" s="25"/>
      <c r="Y639" s="24"/>
      <c r="Z639" s="32"/>
    </row>
    <row r="640" spans="21:26">
      <c r="U640" s="23"/>
      <c r="V640" s="25"/>
      <c r="W640" s="24"/>
      <c r="X640" s="25"/>
      <c r="Y640" s="24"/>
      <c r="Z640" s="32"/>
    </row>
    <row r="641" spans="21:26">
      <c r="U641" s="23"/>
      <c r="V641" s="25"/>
      <c r="W641" s="24"/>
      <c r="X641" s="25"/>
      <c r="Y641" s="24"/>
      <c r="Z641" s="32"/>
    </row>
    <row r="642" spans="21:26">
      <c r="U642" s="23"/>
      <c r="V642" s="25"/>
      <c r="W642" s="24"/>
      <c r="X642" s="25"/>
      <c r="Y642" s="24"/>
      <c r="Z642" s="32"/>
    </row>
    <row r="643" spans="21:26">
      <c r="U643" s="23"/>
      <c r="V643" s="25"/>
      <c r="W643" s="24"/>
      <c r="X643" s="25"/>
      <c r="Y643" s="24"/>
      <c r="Z643" s="32"/>
    </row>
    <row r="644" spans="21:26">
      <c r="U644" s="23"/>
      <c r="V644" s="25"/>
      <c r="W644" s="24"/>
      <c r="X644" s="25"/>
      <c r="Y644" s="24"/>
      <c r="Z644" s="32"/>
    </row>
    <row r="645" spans="21:26">
      <c r="U645" s="23"/>
      <c r="V645" s="25"/>
      <c r="W645" s="24"/>
      <c r="X645" s="25"/>
      <c r="Y645" s="24"/>
      <c r="Z645" s="32"/>
    </row>
    <row r="646" spans="21:26">
      <c r="U646" s="23"/>
      <c r="V646" s="25"/>
      <c r="W646" s="24"/>
      <c r="X646" s="25"/>
      <c r="Y646" s="24"/>
      <c r="Z646" s="32"/>
    </row>
    <row r="647" spans="21:26">
      <c r="U647" s="23"/>
      <c r="V647" s="25"/>
      <c r="W647" s="24"/>
      <c r="X647" s="25"/>
      <c r="Y647" s="24"/>
      <c r="Z647" s="32"/>
    </row>
    <row r="648" spans="21:26">
      <c r="U648" s="23"/>
      <c r="V648" s="25"/>
      <c r="W648" s="24"/>
      <c r="X648" s="25"/>
      <c r="Y648" s="24"/>
      <c r="Z648" s="32"/>
    </row>
    <row r="649" spans="21:26">
      <c r="U649" s="23"/>
      <c r="V649" s="25"/>
      <c r="W649" s="24"/>
      <c r="X649" s="25"/>
      <c r="Y649" s="24"/>
      <c r="Z649" s="32"/>
    </row>
    <row r="650" spans="21:26">
      <c r="U650" s="23"/>
      <c r="V650" s="25"/>
      <c r="W650" s="24"/>
      <c r="X650" s="25"/>
      <c r="Y650" s="24"/>
      <c r="Z650" s="32"/>
    </row>
    <row r="651" spans="21:26">
      <c r="U651" s="23"/>
      <c r="V651" s="25"/>
      <c r="W651" s="24"/>
      <c r="X651" s="25"/>
      <c r="Y651" s="24"/>
      <c r="Z651" s="32"/>
    </row>
    <row r="652" spans="21:26">
      <c r="U652" s="23"/>
      <c r="V652" s="25"/>
      <c r="W652" s="24"/>
      <c r="X652" s="25"/>
      <c r="Y652" s="24"/>
      <c r="Z652" s="32"/>
    </row>
    <row r="653" spans="21:26">
      <c r="U653" s="23"/>
      <c r="V653" s="25"/>
      <c r="W653" s="24"/>
      <c r="X653" s="25"/>
      <c r="Y653" s="24"/>
      <c r="Z653" s="32"/>
    </row>
    <row r="654" spans="21:26">
      <c r="U654" s="23"/>
      <c r="V654" s="25"/>
      <c r="W654" s="24"/>
      <c r="X654" s="25"/>
      <c r="Y654" s="24"/>
      <c r="Z654" s="32"/>
    </row>
    <row r="655" spans="21:26">
      <c r="U655" s="23"/>
      <c r="V655" s="25"/>
      <c r="W655" s="24"/>
      <c r="X655" s="25"/>
      <c r="Y655" s="24"/>
      <c r="Z655" s="32"/>
    </row>
    <row r="656" spans="21:26">
      <c r="U656" s="23"/>
      <c r="V656" s="25"/>
      <c r="W656" s="24"/>
      <c r="X656" s="25"/>
      <c r="Y656" s="24"/>
      <c r="Z656" s="32"/>
    </row>
    <row r="657" spans="21:26">
      <c r="U657" s="23"/>
      <c r="V657" s="25"/>
      <c r="W657" s="24"/>
      <c r="X657" s="25"/>
      <c r="Y657" s="24"/>
      <c r="Z657" s="32"/>
    </row>
    <row r="658" spans="21:26">
      <c r="U658" s="23"/>
      <c r="V658" s="25"/>
      <c r="W658" s="24"/>
      <c r="X658" s="25"/>
      <c r="Y658" s="24"/>
      <c r="Z658" s="32"/>
    </row>
    <row r="659" spans="21:26">
      <c r="U659" s="23"/>
      <c r="V659" s="25"/>
      <c r="W659" s="24"/>
      <c r="X659" s="25"/>
      <c r="Y659" s="24"/>
      <c r="Z659" s="32"/>
    </row>
    <row r="660" spans="21:26">
      <c r="U660" s="23"/>
      <c r="V660" s="25"/>
      <c r="W660" s="24"/>
      <c r="X660" s="25"/>
      <c r="Y660" s="24"/>
      <c r="Z660" s="32"/>
    </row>
    <row r="661" spans="21:26">
      <c r="U661" s="23"/>
      <c r="V661" s="25"/>
      <c r="W661" s="24"/>
      <c r="X661" s="25"/>
      <c r="Y661" s="24"/>
      <c r="Z661" s="32"/>
    </row>
    <row r="662" spans="21:26">
      <c r="U662" s="23"/>
      <c r="V662" s="25"/>
      <c r="W662" s="24"/>
      <c r="X662" s="25"/>
      <c r="Y662" s="24"/>
      <c r="Z662" s="32"/>
    </row>
    <row r="663" spans="21:26">
      <c r="U663" s="23"/>
      <c r="V663" s="25"/>
      <c r="W663" s="24"/>
      <c r="X663" s="25"/>
      <c r="Y663" s="24"/>
      <c r="Z663" s="32"/>
    </row>
    <row r="664" spans="21:26">
      <c r="U664" s="23"/>
      <c r="V664" s="25"/>
      <c r="W664" s="24"/>
      <c r="X664" s="25"/>
      <c r="Y664" s="24"/>
      <c r="Z664" s="32"/>
    </row>
    <row r="665" spans="21:26">
      <c r="U665" s="23"/>
      <c r="V665" s="25"/>
      <c r="W665" s="24"/>
      <c r="X665" s="25"/>
      <c r="Y665" s="24"/>
      <c r="Z665" s="32"/>
    </row>
    <row r="666" spans="21:26">
      <c r="U666" s="23"/>
      <c r="V666" s="25"/>
      <c r="W666" s="24"/>
      <c r="X666" s="25"/>
      <c r="Y666" s="24"/>
      <c r="Z666" s="32"/>
    </row>
    <row r="667" spans="21:26">
      <c r="U667" s="23"/>
      <c r="V667" s="25"/>
      <c r="W667" s="24"/>
      <c r="X667" s="25"/>
      <c r="Y667" s="24"/>
      <c r="Z667" s="32"/>
    </row>
    <row r="668" spans="21:26">
      <c r="U668" s="23"/>
      <c r="V668" s="25"/>
      <c r="W668" s="24"/>
      <c r="X668" s="25"/>
      <c r="Y668" s="24"/>
      <c r="Z668" s="32"/>
    </row>
    <row r="669" spans="21:26">
      <c r="U669" s="23"/>
      <c r="V669" s="25"/>
      <c r="W669" s="24"/>
      <c r="X669" s="25"/>
      <c r="Y669" s="24"/>
      <c r="Z669" s="32"/>
    </row>
    <row r="670" spans="21:26">
      <c r="U670" s="23"/>
      <c r="V670" s="25"/>
      <c r="W670" s="24"/>
      <c r="X670" s="25"/>
      <c r="Y670" s="24"/>
      <c r="Z670" s="32"/>
    </row>
    <row r="671" spans="21:26">
      <c r="U671" s="23"/>
      <c r="V671" s="25"/>
      <c r="W671" s="24"/>
      <c r="X671" s="25"/>
      <c r="Y671" s="24"/>
      <c r="Z671" s="32"/>
    </row>
    <row r="672" spans="21:26">
      <c r="U672" s="23"/>
      <c r="V672" s="25"/>
      <c r="W672" s="24"/>
      <c r="X672" s="25"/>
      <c r="Y672" s="24"/>
      <c r="Z672" s="32"/>
    </row>
    <row r="673" spans="21:26">
      <c r="U673" s="23"/>
      <c r="V673" s="25"/>
      <c r="W673" s="24"/>
      <c r="X673" s="25"/>
      <c r="Y673" s="24"/>
      <c r="Z673" s="32"/>
    </row>
    <row r="674" spans="21:26">
      <c r="U674" s="23"/>
      <c r="V674" s="25"/>
      <c r="W674" s="24"/>
      <c r="X674" s="25"/>
      <c r="Y674" s="24"/>
      <c r="Z674" s="32"/>
    </row>
    <row r="675" spans="21:26">
      <c r="U675" s="23"/>
      <c r="V675" s="25"/>
      <c r="W675" s="24"/>
      <c r="X675" s="25"/>
      <c r="Y675" s="24"/>
      <c r="Z675" s="32"/>
    </row>
    <row r="676" spans="21:26">
      <c r="U676" s="23"/>
      <c r="V676" s="25"/>
      <c r="W676" s="24"/>
      <c r="X676" s="25"/>
      <c r="Y676" s="24"/>
      <c r="Z676" s="32"/>
    </row>
    <row r="677" spans="21:26">
      <c r="U677" s="23"/>
      <c r="V677" s="25"/>
      <c r="W677" s="24"/>
      <c r="X677" s="25"/>
      <c r="Y677" s="24"/>
      <c r="Z677" s="32"/>
    </row>
    <row r="678" spans="21:26">
      <c r="U678" s="23"/>
      <c r="V678" s="25"/>
      <c r="W678" s="24"/>
      <c r="X678" s="25"/>
      <c r="Y678" s="24"/>
      <c r="Z678" s="32"/>
    </row>
    <row r="679" spans="21:26">
      <c r="U679" s="23"/>
      <c r="V679" s="25"/>
      <c r="W679" s="24"/>
      <c r="X679" s="25"/>
      <c r="Y679" s="24"/>
      <c r="Z679" s="32"/>
    </row>
    <row r="680" spans="21:26">
      <c r="U680" s="23"/>
      <c r="V680" s="25"/>
      <c r="W680" s="24"/>
      <c r="X680" s="25"/>
      <c r="Y680" s="24"/>
      <c r="Z680" s="32"/>
    </row>
    <row r="681" spans="21:26">
      <c r="U681" s="23"/>
      <c r="V681" s="25"/>
      <c r="W681" s="24"/>
      <c r="X681" s="25"/>
      <c r="Y681" s="24"/>
      <c r="Z681" s="32"/>
    </row>
    <row r="682" spans="21:26">
      <c r="U682" s="23"/>
      <c r="V682" s="25"/>
      <c r="W682" s="24"/>
      <c r="X682" s="25"/>
      <c r="Y682" s="24"/>
      <c r="Z682" s="32"/>
    </row>
    <row r="683" spans="21:26">
      <c r="U683" s="23"/>
      <c r="V683" s="25"/>
      <c r="W683" s="24"/>
      <c r="X683" s="25"/>
      <c r="Y683" s="24"/>
      <c r="Z683" s="32"/>
    </row>
    <row r="684" spans="21:26">
      <c r="U684" s="23"/>
      <c r="V684" s="25"/>
      <c r="W684" s="24"/>
      <c r="X684" s="25"/>
      <c r="Y684" s="24"/>
      <c r="Z684" s="32"/>
    </row>
    <row r="685" spans="21:26">
      <c r="U685" s="23"/>
      <c r="V685" s="25"/>
      <c r="W685" s="24"/>
      <c r="X685" s="25"/>
      <c r="Y685" s="24"/>
      <c r="Z685" s="32"/>
    </row>
    <row r="686" spans="21:26">
      <c r="U686" s="23"/>
      <c r="V686" s="25"/>
      <c r="W686" s="24"/>
      <c r="X686" s="25"/>
      <c r="Y686" s="24"/>
      <c r="Z686" s="32"/>
    </row>
    <row r="687" spans="21:26">
      <c r="U687" s="23"/>
      <c r="V687" s="25"/>
      <c r="W687" s="24"/>
      <c r="X687" s="25"/>
      <c r="Y687" s="24"/>
      <c r="Z687" s="32"/>
    </row>
    <row r="688" spans="21:26">
      <c r="U688" s="23"/>
      <c r="V688" s="25"/>
      <c r="W688" s="24"/>
      <c r="X688" s="25"/>
      <c r="Y688" s="24"/>
      <c r="Z688" s="32"/>
    </row>
    <row r="689" spans="21:26">
      <c r="U689" s="23"/>
      <c r="V689" s="25"/>
      <c r="W689" s="24"/>
      <c r="X689" s="25"/>
      <c r="Y689" s="24"/>
      <c r="Z689" s="32"/>
    </row>
    <row r="690" spans="21:26">
      <c r="U690" s="23"/>
      <c r="V690" s="25"/>
      <c r="W690" s="24"/>
      <c r="X690" s="25"/>
      <c r="Y690" s="24"/>
      <c r="Z690" s="32"/>
    </row>
    <row r="691" spans="21:26">
      <c r="U691" s="23"/>
      <c r="V691" s="25"/>
      <c r="W691" s="24"/>
      <c r="X691" s="25"/>
      <c r="Y691" s="24"/>
      <c r="Z691" s="32"/>
    </row>
    <row r="692" spans="21:26">
      <c r="U692" s="23"/>
      <c r="V692" s="25"/>
      <c r="W692" s="24"/>
      <c r="X692" s="25"/>
      <c r="Y692" s="24"/>
      <c r="Z692" s="32"/>
    </row>
    <row r="693" spans="21:26">
      <c r="U693" s="23"/>
      <c r="V693" s="25"/>
      <c r="W693" s="24"/>
      <c r="X693" s="25"/>
      <c r="Y693" s="24"/>
      <c r="Z693" s="32"/>
    </row>
    <row r="694" spans="21:26">
      <c r="U694" s="23"/>
      <c r="V694" s="25"/>
      <c r="W694" s="24"/>
      <c r="X694" s="25"/>
      <c r="Y694" s="24"/>
      <c r="Z694" s="32"/>
    </row>
    <row r="695" spans="21:26">
      <c r="U695" s="23"/>
      <c r="V695" s="25"/>
      <c r="W695" s="24"/>
      <c r="X695" s="25"/>
      <c r="Y695" s="24"/>
      <c r="Z695" s="32"/>
    </row>
    <row r="696" spans="21:26">
      <c r="U696" s="23"/>
      <c r="V696" s="25"/>
      <c r="W696" s="24"/>
      <c r="X696" s="25"/>
      <c r="Y696" s="24"/>
      <c r="Z696" s="32"/>
    </row>
    <row r="697" spans="21:26">
      <c r="U697" s="23"/>
      <c r="V697" s="25"/>
      <c r="W697" s="24"/>
      <c r="X697" s="25"/>
      <c r="Y697" s="24"/>
      <c r="Z697" s="32"/>
    </row>
    <row r="698" spans="21:26">
      <c r="U698" s="23"/>
      <c r="V698" s="25"/>
      <c r="W698" s="24"/>
      <c r="X698" s="25"/>
      <c r="Y698" s="24"/>
      <c r="Z698" s="32"/>
    </row>
    <row r="699" spans="21:26">
      <c r="U699" s="23"/>
      <c r="V699" s="25"/>
      <c r="W699" s="24"/>
      <c r="X699" s="25"/>
      <c r="Y699" s="24"/>
      <c r="Z699" s="32"/>
    </row>
    <row r="700" spans="21:26">
      <c r="U700" s="23"/>
      <c r="V700" s="25"/>
      <c r="W700" s="24"/>
      <c r="X700" s="25"/>
      <c r="Y700" s="24"/>
      <c r="Z700" s="32"/>
    </row>
    <row r="701" spans="21:26">
      <c r="U701" s="23"/>
      <c r="V701" s="25"/>
      <c r="W701" s="24"/>
      <c r="X701" s="25"/>
      <c r="Y701" s="24"/>
      <c r="Z701" s="32"/>
    </row>
    <row r="702" spans="21:26">
      <c r="U702" s="23"/>
      <c r="V702" s="25"/>
      <c r="W702" s="24"/>
      <c r="X702" s="25"/>
      <c r="Y702" s="24"/>
      <c r="Z702" s="32"/>
    </row>
    <row r="703" spans="21:26">
      <c r="U703" s="23"/>
      <c r="V703" s="25"/>
      <c r="W703" s="24"/>
      <c r="X703" s="25"/>
      <c r="Y703" s="24"/>
      <c r="Z703" s="32"/>
    </row>
    <row r="704" spans="21:26">
      <c r="U704" s="23"/>
      <c r="V704" s="25"/>
      <c r="W704" s="24"/>
      <c r="X704" s="25"/>
      <c r="Y704" s="24"/>
      <c r="Z704" s="32"/>
    </row>
    <row r="705" spans="21:26">
      <c r="U705" s="23"/>
      <c r="V705" s="25"/>
      <c r="W705" s="24"/>
      <c r="X705" s="25"/>
      <c r="Y705" s="24"/>
      <c r="Z705" s="32"/>
    </row>
    <row r="706" spans="21:26">
      <c r="U706" s="23"/>
      <c r="V706" s="25"/>
      <c r="W706" s="24"/>
      <c r="X706" s="25"/>
      <c r="Y706" s="24"/>
      <c r="Z706" s="32"/>
    </row>
    <row r="707" spans="21:26">
      <c r="U707" s="23"/>
      <c r="V707" s="25"/>
      <c r="W707" s="24"/>
      <c r="X707" s="25"/>
      <c r="Y707" s="24"/>
      <c r="Z707" s="32"/>
    </row>
    <row r="708" spans="21:26">
      <c r="U708" s="23"/>
      <c r="V708" s="25"/>
      <c r="W708" s="24"/>
      <c r="X708" s="25"/>
      <c r="Y708" s="24"/>
      <c r="Z708" s="32"/>
    </row>
    <row r="709" spans="21:26">
      <c r="U709" s="23"/>
      <c r="V709" s="25"/>
      <c r="W709" s="24"/>
      <c r="X709" s="25"/>
      <c r="Y709" s="24"/>
      <c r="Z709" s="32"/>
    </row>
    <row r="710" spans="21:26">
      <c r="U710" s="23"/>
      <c r="V710" s="25"/>
      <c r="W710" s="24"/>
      <c r="X710" s="25"/>
      <c r="Y710" s="24"/>
      <c r="Z710" s="32"/>
    </row>
    <row r="711" spans="21:26">
      <c r="U711" s="23"/>
      <c r="V711" s="25"/>
      <c r="W711" s="24"/>
      <c r="X711" s="25"/>
      <c r="Y711" s="24"/>
      <c r="Z711" s="32"/>
    </row>
    <row r="712" spans="21:26">
      <c r="U712" s="23"/>
      <c r="V712" s="25"/>
      <c r="W712" s="24"/>
      <c r="X712" s="25"/>
      <c r="Y712" s="24"/>
      <c r="Z712" s="32"/>
    </row>
    <row r="713" spans="21:26">
      <c r="U713" s="23"/>
      <c r="V713" s="25"/>
      <c r="W713" s="24"/>
      <c r="X713" s="25"/>
      <c r="Y713" s="24"/>
      <c r="Z713" s="32"/>
    </row>
    <row r="714" spans="21:26">
      <c r="U714" s="23"/>
      <c r="V714" s="25"/>
      <c r="W714" s="24"/>
      <c r="X714" s="25"/>
      <c r="Y714" s="24"/>
      <c r="Z714" s="32"/>
    </row>
    <row r="715" spans="21:26">
      <c r="U715" s="23"/>
      <c r="V715" s="25"/>
      <c r="W715" s="24"/>
      <c r="X715" s="25"/>
      <c r="Y715" s="24"/>
      <c r="Z715" s="32"/>
    </row>
    <row r="716" spans="21:26">
      <c r="U716" s="23"/>
      <c r="V716" s="25"/>
      <c r="W716" s="24"/>
      <c r="X716" s="25"/>
      <c r="Y716" s="24"/>
      <c r="Z716" s="32"/>
    </row>
    <row r="717" spans="21:26">
      <c r="U717" s="23"/>
      <c r="V717" s="25"/>
      <c r="W717" s="24"/>
      <c r="X717" s="25"/>
      <c r="Y717" s="24"/>
      <c r="Z717" s="32"/>
    </row>
    <row r="718" spans="21:26">
      <c r="U718" s="23"/>
      <c r="V718" s="25"/>
      <c r="W718" s="24"/>
      <c r="X718" s="25"/>
      <c r="Y718" s="24"/>
      <c r="Z718" s="32"/>
    </row>
    <row r="719" spans="21:26">
      <c r="U719" s="23"/>
      <c r="V719" s="25"/>
      <c r="W719" s="24"/>
      <c r="X719" s="25"/>
      <c r="Y719" s="24"/>
      <c r="Z719" s="32"/>
    </row>
    <row r="720" spans="21:26">
      <c r="U720" s="23"/>
      <c r="V720" s="25"/>
      <c r="W720" s="24"/>
      <c r="X720" s="25"/>
      <c r="Y720" s="24"/>
      <c r="Z720" s="32"/>
    </row>
    <row r="721" spans="21:26">
      <c r="U721" s="23"/>
      <c r="V721" s="25"/>
      <c r="W721" s="24"/>
      <c r="X721" s="25"/>
      <c r="Y721" s="24"/>
      <c r="Z721" s="32"/>
    </row>
    <row r="722" spans="21:26">
      <c r="U722" s="23"/>
      <c r="V722" s="25"/>
      <c r="W722" s="24"/>
      <c r="X722" s="25"/>
      <c r="Y722" s="24"/>
      <c r="Z722" s="32"/>
    </row>
    <row r="723" spans="21:26">
      <c r="U723" s="23"/>
      <c r="V723" s="25"/>
      <c r="W723" s="24"/>
      <c r="X723" s="25"/>
      <c r="Y723" s="24"/>
      <c r="Z723" s="32"/>
    </row>
    <row r="724" spans="21:26">
      <c r="U724" s="23"/>
      <c r="V724" s="25"/>
      <c r="W724" s="24"/>
      <c r="X724" s="25"/>
      <c r="Y724" s="24"/>
      <c r="Z724" s="32"/>
    </row>
    <row r="725" spans="21:26">
      <c r="U725" s="23"/>
      <c r="V725" s="25"/>
      <c r="W725" s="24"/>
      <c r="X725" s="25"/>
      <c r="Y725" s="24"/>
      <c r="Z725" s="32"/>
    </row>
    <row r="726" spans="21:26">
      <c r="U726" s="23"/>
      <c r="V726" s="25"/>
      <c r="W726" s="24"/>
      <c r="X726" s="25"/>
      <c r="Y726" s="24"/>
      <c r="Z726" s="32"/>
    </row>
    <row r="727" spans="21:26">
      <c r="U727" s="23"/>
      <c r="V727" s="25"/>
      <c r="W727" s="24"/>
      <c r="X727" s="25"/>
      <c r="Y727" s="24"/>
      <c r="Z727" s="32"/>
    </row>
    <row r="728" spans="21:26">
      <c r="U728" s="23"/>
      <c r="V728" s="25"/>
      <c r="W728" s="24"/>
      <c r="X728" s="25"/>
      <c r="Y728" s="24"/>
      <c r="Z728" s="32"/>
    </row>
    <row r="729" spans="21:26">
      <c r="U729" s="23"/>
      <c r="V729" s="25"/>
      <c r="W729" s="24"/>
      <c r="X729" s="25"/>
      <c r="Y729" s="24"/>
      <c r="Z729" s="32"/>
    </row>
    <row r="730" spans="21:26">
      <c r="U730" s="23"/>
      <c r="V730" s="25"/>
      <c r="W730" s="24"/>
      <c r="X730" s="25"/>
      <c r="Y730" s="24"/>
      <c r="Z730" s="32"/>
    </row>
    <row r="731" spans="21:26">
      <c r="U731" s="23"/>
      <c r="V731" s="25"/>
      <c r="W731" s="24"/>
      <c r="X731" s="25"/>
      <c r="Y731" s="24"/>
      <c r="Z731" s="32"/>
    </row>
    <row r="732" spans="21:26">
      <c r="U732" s="23"/>
      <c r="V732" s="25"/>
      <c r="W732" s="24"/>
      <c r="X732" s="25"/>
      <c r="Y732" s="24"/>
      <c r="Z732" s="32"/>
    </row>
    <row r="733" spans="21:26">
      <c r="U733" s="23"/>
      <c r="V733" s="25"/>
      <c r="W733" s="24"/>
      <c r="X733" s="25"/>
      <c r="Y733" s="24"/>
      <c r="Z733" s="32"/>
    </row>
    <row r="734" spans="21:26">
      <c r="U734" s="23"/>
      <c r="V734" s="25"/>
      <c r="W734" s="24"/>
      <c r="X734" s="25"/>
      <c r="Y734" s="24"/>
      <c r="Z734" s="32"/>
    </row>
    <row r="735" spans="21:26">
      <c r="U735" s="23"/>
      <c r="V735" s="25"/>
      <c r="W735" s="24"/>
      <c r="X735" s="25"/>
      <c r="Y735" s="24"/>
      <c r="Z735" s="32"/>
    </row>
    <row r="736" spans="21:26">
      <c r="U736" s="23"/>
      <c r="V736" s="25"/>
      <c r="W736" s="24"/>
      <c r="X736" s="25"/>
      <c r="Y736" s="24"/>
      <c r="Z736" s="32"/>
    </row>
    <row r="737" spans="21:26">
      <c r="U737" s="23"/>
      <c r="V737" s="25"/>
      <c r="W737" s="24"/>
      <c r="X737" s="25"/>
      <c r="Y737" s="24"/>
      <c r="Z737" s="32"/>
    </row>
    <row r="738" spans="21:26">
      <c r="U738" s="23"/>
      <c r="V738" s="25"/>
      <c r="W738" s="24"/>
      <c r="X738" s="25"/>
      <c r="Y738" s="24"/>
      <c r="Z738" s="32"/>
    </row>
    <row r="739" spans="21:26">
      <c r="U739" s="23"/>
      <c r="V739" s="25"/>
      <c r="W739" s="24"/>
      <c r="X739" s="25"/>
      <c r="Y739" s="24"/>
      <c r="Z739" s="32"/>
    </row>
    <row r="740" spans="21:26">
      <c r="U740" s="23"/>
      <c r="V740" s="25"/>
      <c r="W740" s="24"/>
      <c r="X740" s="25"/>
      <c r="Y740" s="24"/>
      <c r="Z740" s="32"/>
    </row>
    <row r="741" spans="21:26">
      <c r="U741" s="23"/>
      <c r="V741" s="25"/>
      <c r="W741" s="24"/>
      <c r="X741" s="25"/>
      <c r="Y741" s="24"/>
      <c r="Z741" s="32"/>
    </row>
    <row r="742" spans="21:26">
      <c r="U742" s="23"/>
      <c r="V742" s="25"/>
      <c r="W742" s="24"/>
      <c r="X742" s="25"/>
      <c r="Y742" s="24"/>
      <c r="Z742" s="32"/>
    </row>
    <row r="743" spans="21:26">
      <c r="U743" s="23"/>
      <c r="V743" s="25"/>
      <c r="W743" s="24"/>
      <c r="X743" s="25"/>
      <c r="Y743" s="24"/>
      <c r="Z743" s="32"/>
    </row>
    <row r="744" spans="21:26">
      <c r="U744" s="23"/>
      <c r="V744" s="25"/>
      <c r="W744" s="24"/>
      <c r="X744" s="25"/>
      <c r="Y744" s="24"/>
      <c r="Z744" s="32"/>
    </row>
    <row r="745" spans="21:26">
      <c r="U745" s="23"/>
      <c r="V745" s="25"/>
      <c r="W745" s="24"/>
      <c r="X745" s="25"/>
      <c r="Y745" s="24"/>
      <c r="Z745" s="32"/>
    </row>
    <row r="746" spans="21:26">
      <c r="U746" s="23"/>
      <c r="V746" s="25"/>
      <c r="W746" s="24"/>
      <c r="X746" s="25"/>
      <c r="Y746" s="24"/>
      <c r="Z746" s="32"/>
    </row>
    <row r="747" spans="21:26">
      <c r="U747" s="23"/>
      <c r="V747" s="25"/>
      <c r="W747" s="24"/>
      <c r="X747" s="25"/>
      <c r="Y747" s="24"/>
      <c r="Z747" s="32"/>
    </row>
    <row r="748" spans="21:26">
      <c r="U748" s="23"/>
      <c r="V748" s="25"/>
      <c r="W748" s="24"/>
      <c r="X748" s="25"/>
      <c r="Y748" s="24"/>
      <c r="Z748" s="32"/>
    </row>
    <row r="749" spans="21:26">
      <c r="U749" s="23"/>
      <c r="V749" s="25"/>
      <c r="W749" s="24"/>
      <c r="X749" s="25"/>
      <c r="Y749" s="24"/>
      <c r="Z749" s="32"/>
    </row>
    <row r="750" spans="21:26">
      <c r="U750" s="23"/>
      <c r="V750" s="25"/>
      <c r="W750" s="24"/>
      <c r="X750" s="25"/>
      <c r="Y750" s="24"/>
      <c r="Z750" s="32"/>
    </row>
    <row r="751" spans="21:26">
      <c r="U751" s="23"/>
      <c r="V751" s="25"/>
      <c r="W751" s="24"/>
      <c r="X751" s="25"/>
      <c r="Y751" s="24"/>
      <c r="Z751" s="32"/>
    </row>
    <row r="752" spans="21:26">
      <c r="U752" s="23"/>
      <c r="V752" s="25"/>
      <c r="W752" s="24"/>
      <c r="X752" s="25"/>
      <c r="Y752" s="24"/>
      <c r="Z752" s="32"/>
    </row>
    <row r="753" spans="21:26">
      <c r="U753" s="23"/>
      <c r="V753" s="25"/>
      <c r="W753" s="24"/>
      <c r="X753" s="25"/>
      <c r="Y753" s="24"/>
      <c r="Z753" s="32"/>
    </row>
    <row r="754" spans="21:26">
      <c r="U754" s="23"/>
      <c r="V754" s="25"/>
      <c r="W754" s="24"/>
      <c r="X754" s="25"/>
      <c r="Y754" s="24"/>
      <c r="Z754" s="32"/>
    </row>
    <row r="755" spans="21:26">
      <c r="U755" s="23"/>
      <c r="V755" s="25"/>
      <c r="W755" s="24"/>
      <c r="X755" s="25"/>
      <c r="Y755" s="24"/>
      <c r="Z755" s="32"/>
    </row>
    <row r="756" spans="21:26">
      <c r="U756" s="23"/>
      <c r="V756" s="25"/>
      <c r="W756" s="24"/>
      <c r="X756" s="25"/>
      <c r="Y756" s="24"/>
      <c r="Z756" s="32"/>
    </row>
    <row r="757" spans="21:26">
      <c r="U757" s="23"/>
      <c r="V757" s="25"/>
      <c r="W757" s="24"/>
      <c r="X757" s="25"/>
      <c r="Y757" s="24"/>
      <c r="Z757" s="32"/>
    </row>
    <row r="758" spans="21:26">
      <c r="U758" s="23"/>
      <c r="V758" s="25"/>
      <c r="W758" s="24"/>
      <c r="X758" s="25"/>
      <c r="Y758" s="24"/>
      <c r="Z758" s="32"/>
    </row>
    <row r="759" spans="21:26">
      <c r="U759" s="23"/>
      <c r="V759" s="25"/>
      <c r="W759" s="24"/>
      <c r="X759" s="25"/>
      <c r="Y759" s="24"/>
      <c r="Z759" s="32"/>
    </row>
    <row r="760" spans="21:26">
      <c r="U760" s="23"/>
      <c r="V760" s="25"/>
      <c r="W760" s="24"/>
      <c r="X760" s="25"/>
      <c r="Y760" s="24"/>
      <c r="Z760" s="32"/>
    </row>
    <row r="761" spans="21:26">
      <c r="U761" s="23"/>
      <c r="V761" s="25"/>
      <c r="W761" s="24"/>
      <c r="X761" s="25"/>
      <c r="Y761" s="24"/>
      <c r="Z761" s="32"/>
    </row>
    <row r="762" spans="21:26">
      <c r="U762" s="23"/>
      <c r="V762" s="25"/>
      <c r="W762" s="24"/>
      <c r="X762" s="25"/>
      <c r="Y762" s="24"/>
      <c r="Z762" s="32"/>
    </row>
    <row r="763" spans="21:26">
      <c r="U763" s="23"/>
      <c r="V763" s="25"/>
      <c r="W763" s="24"/>
      <c r="X763" s="25"/>
      <c r="Y763" s="24"/>
      <c r="Z763" s="32"/>
    </row>
    <row r="764" spans="21:26">
      <c r="U764" s="23"/>
      <c r="V764" s="25"/>
      <c r="W764" s="24"/>
      <c r="X764" s="25"/>
      <c r="Y764" s="24"/>
      <c r="Z764" s="32"/>
    </row>
    <row r="765" spans="21:26">
      <c r="U765" s="23"/>
      <c r="V765" s="25"/>
      <c r="W765" s="24"/>
      <c r="X765" s="25"/>
      <c r="Y765" s="24"/>
      <c r="Z765" s="32"/>
    </row>
    <row r="766" spans="21:26">
      <c r="U766" s="23"/>
      <c r="V766" s="25"/>
      <c r="W766" s="24"/>
      <c r="X766" s="25"/>
      <c r="Y766" s="24"/>
      <c r="Z766" s="32"/>
    </row>
    <row r="767" spans="21:26">
      <c r="U767" s="23"/>
      <c r="V767" s="25"/>
      <c r="W767" s="24"/>
      <c r="X767" s="25"/>
      <c r="Y767" s="24"/>
      <c r="Z767" s="32"/>
    </row>
    <row r="768" spans="21:26">
      <c r="U768" s="23"/>
      <c r="V768" s="25"/>
      <c r="W768" s="24"/>
      <c r="X768" s="25"/>
      <c r="Y768" s="24"/>
      <c r="Z768" s="32"/>
    </row>
    <row r="769" spans="21:26">
      <c r="U769" s="23"/>
      <c r="V769" s="25"/>
      <c r="W769" s="24"/>
      <c r="X769" s="25"/>
      <c r="Y769" s="24"/>
      <c r="Z769" s="32"/>
    </row>
    <row r="770" spans="21:26">
      <c r="U770" s="23"/>
      <c r="V770" s="25"/>
      <c r="W770" s="24"/>
      <c r="X770" s="25"/>
      <c r="Y770" s="24"/>
      <c r="Z770" s="32"/>
    </row>
    <row r="771" spans="21:26">
      <c r="U771" s="23"/>
      <c r="V771" s="25"/>
      <c r="W771" s="24"/>
      <c r="X771" s="25"/>
      <c r="Y771" s="24"/>
      <c r="Z771" s="32"/>
    </row>
    <row r="772" spans="21:26">
      <c r="U772" s="23"/>
      <c r="V772" s="25"/>
      <c r="W772" s="24"/>
      <c r="X772" s="25"/>
      <c r="Y772" s="24"/>
      <c r="Z772" s="32"/>
    </row>
    <row r="773" spans="21:26">
      <c r="U773" s="23"/>
      <c r="V773" s="25"/>
      <c r="W773" s="24"/>
      <c r="X773" s="25"/>
      <c r="Y773" s="24"/>
      <c r="Z773" s="32"/>
    </row>
    <row r="774" spans="21:26">
      <c r="U774" s="23"/>
      <c r="V774" s="25"/>
      <c r="W774" s="24"/>
      <c r="X774" s="25"/>
      <c r="Y774" s="24"/>
      <c r="Z774" s="32"/>
    </row>
    <row r="775" spans="21:26">
      <c r="U775" s="23"/>
      <c r="V775" s="25"/>
      <c r="W775" s="24"/>
      <c r="X775" s="25"/>
      <c r="Y775" s="24"/>
      <c r="Z775" s="32"/>
    </row>
    <row r="776" spans="21:26">
      <c r="U776" s="23"/>
      <c r="V776" s="25"/>
      <c r="W776" s="24"/>
      <c r="X776" s="25"/>
      <c r="Y776" s="24"/>
      <c r="Z776" s="32"/>
    </row>
    <row r="777" spans="21:26">
      <c r="U777" s="23"/>
      <c r="V777" s="25"/>
      <c r="W777" s="24"/>
      <c r="X777" s="25"/>
      <c r="Y777" s="24"/>
      <c r="Z777" s="32"/>
    </row>
    <row r="778" spans="21:26">
      <c r="U778" s="23"/>
      <c r="V778" s="25"/>
      <c r="W778" s="24"/>
      <c r="X778" s="25"/>
      <c r="Y778" s="24"/>
      <c r="Z778" s="32"/>
    </row>
    <row r="779" spans="21:26">
      <c r="U779" s="23"/>
      <c r="V779" s="25"/>
      <c r="W779" s="24"/>
      <c r="X779" s="25"/>
      <c r="Y779" s="24"/>
      <c r="Z779" s="32"/>
    </row>
    <row r="780" spans="21:26">
      <c r="U780" s="23"/>
      <c r="V780" s="25"/>
      <c r="W780" s="24"/>
      <c r="X780" s="25"/>
      <c r="Y780" s="24"/>
      <c r="Z780" s="32"/>
    </row>
    <row r="781" spans="21:26">
      <c r="U781" s="23"/>
      <c r="V781" s="25"/>
      <c r="W781" s="24"/>
      <c r="X781" s="25"/>
      <c r="Y781" s="24"/>
      <c r="Z781" s="32"/>
    </row>
    <row r="782" spans="21:26">
      <c r="U782" s="23"/>
      <c r="V782" s="25"/>
      <c r="W782" s="24"/>
      <c r="X782" s="25"/>
      <c r="Y782" s="24"/>
      <c r="Z782" s="32"/>
    </row>
    <row r="783" spans="21:26">
      <c r="U783" s="23"/>
      <c r="V783" s="25"/>
      <c r="W783" s="24"/>
      <c r="X783" s="25"/>
      <c r="Y783" s="24"/>
      <c r="Z783" s="32"/>
    </row>
    <row r="784" spans="21:26">
      <c r="U784" s="23"/>
      <c r="V784" s="25"/>
      <c r="W784" s="24"/>
      <c r="X784" s="25"/>
      <c r="Y784" s="24"/>
      <c r="Z784" s="32"/>
    </row>
    <row r="785" spans="21:26">
      <c r="U785" s="23"/>
      <c r="V785" s="25"/>
      <c r="W785" s="24"/>
      <c r="X785" s="25"/>
      <c r="Y785" s="24"/>
      <c r="Z785" s="32"/>
    </row>
    <row r="786" spans="21:26">
      <c r="U786" s="23"/>
      <c r="V786" s="25"/>
      <c r="W786" s="24"/>
      <c r="X786" s="25"/>
      <c r="Y786" s="24"/>
      <c r="Z786" s="32"/>
    </row>
    <row r="787" spans="21:26">
      <c r="U787" s="23"/>
      <c r="V787" s="25"/>
      <c r="W787" s="24"/>
      <c r="X787" s="25"/>
      <c r="Y787" s="24"/>
      <c r="Z787" s="32"/>
    </row>
    <row r="788" spans="21:26">
      <c r="U788" s="23"/>
      <c r="V788" s="25"/>
      <c r="W788" s="24"/>
      <c r="X788" s="25"/>
      <c r="Y788" s="24"/>
      <c r="Z788" s="32"/>
    </row>
    <row r="789" spans="21:26">
      <c r="U789" s="23"/>
      <c r="V789" s="25"/>
      <c r="W789" s="24"/>
      <c r="X789" s="25"/>
      <c r="Y789" s="24"/>
      <c r="Z789" s="32"/>
    </row>
    <row r="790" spans="21:26">
      <c r="U790" s="23"/>
      <c r="V790" s="25"/>
      <c r="W790" s="24"/>
      <c r="X790" s="25"/>
      <c r="Y790" s="24"/>
      <c r="Z790" s="32"/>
    </row>
    <row r="791" spans="21:26">
      <c r="U791" s="23"/>
      <c r="V791" s="25"/>
      <c r="W791" s="24"/>
      <c r="X791" s="25"/>
      <c r="Y791" s="24"/>
      <c r="Z791" s="32"/>
    </row>
    <row r="792" spans="21:26">
      <c r="U792" s="23"/>
      <c r="V792" s="25"/>
      <c r="W792" s="24"/>
      <c r="X792" s="25"/>
      <c r="Y792" s="24"/>
      <c r="Z792" s="32"/>
    </row>
    <row r="793" spans="21:26">
      <c r="U793" s="23"/>
      <c r="V793" s="25"/>
      <c r="W793" s="24"/>
      <c r="X793" s="25"/>
      <c r="Y793" s="24"/>
      <c r="Z793" s="32"/>
    </row>
    <row r="794" spans="21:26">
      <c r="U794" s="23"/>
      <c r="V794" s="25"/>
      <c r="W794" s="24"/>
      <c r="X794" s="25"/>
      <c r="Y794" s="24"/>
      <c r="Z794" s="32"/>
    </row>
    <row r="795" spans="21:26">
      <c r="U795" s="23"/>
      <c r="V795" s="25"/>
      <c r="W795" s="24"/>
      <c r="X795" s="25"/>
      <c r="Y795" s="24"/>
      <c r="Z795" s="32"/>
    </row>
    <row r="796" spans="21:26">
      <c r="U796" s="23"/>
      <c r="V796" s="25"/>
      <c r="W796" s="24"/>
      <c r="X796" s="25"/>
      <c r="Y796" s="24"/>
      <c r="Z796" s="32"/>
    </row>
    <row r="797" spans="21:26">
      <c r="U797" s="23"/>
      <c r="V797" s="25"/>
      <c r="W797" s="24"/>
      <c r="X797" s="25"/>
      <c r="Y797" s="24"/>
      <c r="Z797" s="32"/>
    </row>
    <row r="798" spans="21:26">
      <c r="U798" s="23"/>
      <c r="V798" s="25"/>
      <c r="W798" s="24"/>
      <c r="X798" s="25"/>
      <c r="Y798" s="24"/>
      <c r="Z798" s="32"/>
    </row>
    <row r="799" spans="21:26">
      <c r="U799" s="23"/>
      <c r="V799" s="25"/>
      <c r="W799" s="24"/>
      <c r="X799" s="25"/>
      <c r="Y799" s="24"/>
      <c r="Z799" s="32"/>
    </row>
    <row r="800" spans="21:26">
      <c r="U800" s="23"/>
      <c r="V800" s="25"/>
      <c r="W800" s="24"/>
      <c r="X800" s="25"/>
      <c r="Y800" s="24"/>
      <c r="Z800" s="32"/>
    </row>
    <row r="801" spans="21:26">
      <c r="U801" s="23"/>
      <c r="V801" s="25"/>
      <c r="W801" s="24"/>
      <c r="X801" s="25"/>
      <c r="Y801" s="24"/>
      <c r="Z801" s="32"/>
    </row>
    <row r="802" spans="21:26">
      <c r="U802" s="23"/>
      <c r="V802" s="25"/>
      <c r="W802" s="24"/>
      <c r="X802" s="25"/>
      <c r="Y802" s="24"/>
      <c r="Z802" s="32"/>
    </row>
    <row r="803" spans="21:26">
      <c r="U803" s="23"/>
      <c r="V803" s="25"/>
      <c r="W803" s="24"/>
      <c r="X803" s="25"/>
      <c r="Y803" s="24"/>
      <c r="Z803" s="32"/>
    </row>
    <row r="804" spans="21:26">
      <c r="U804" s="23"/>
      <c r="V804" s="25"/>
      <c r="W804" s="24"/>
      <c r="X804" s="25"/>
      <c r="Y804" s="24"/>
      <c r="Z804" s="32"/>
    </row>
    <row r="805" spans="21:26">
      <c r="U805" s="23"/>
      <c r="V805" s="25"/>
      <c r="W805" s="24"/>
      <c r="X805" s="25"/>
      <c r="Y805" s="24"/>
      <c r="Z805" s="32"/>
    </row>
    <row r="806" spans="21:26">
      <c r="U806" s="23"/>
      <c r="V806" s="25"/>
      <c r="W806" s="24"/>
      <c r="X806" s="25"/>
      <c r="Y806" s="24"/>
      <c r="Z806" s="32"/>
    </row>
    <row r="807" spans="21:26">
      <c r="U807" s="23"/>
      <c r="V807" s="25"/>
      <c r="W807" s="24"/>
      <c r="X807" s="25"/>
      <c r="Y807" s="24"/>
      <c r="Z807" s="32"/>
    </row>
    <row r="808" spans="21:26">
      <c r="U808" s="23"/>
      <c r="V808" s="25"/>
      <c r="W808" s="24"/>
      <c r="X808" s="25"/>
      <c r="Y808" s="24"/>
      <c r="Z808" s="32"/>
    </row>
    <row r="809" spans="21:26">
      <c r="U809" s="23"/>
      <c r="V809" s="25"/>
      <c r="W809" s="24"/>
      <c r="X809" s="25"/>
      <c r="Y809" s="24"/>
      <c r="Z809" s="32"/>
    </row>
    <row r="810" spans="21:26">
      <c r="U810" s="23"/>
      <c r="V810" s="25"/>
      <c r="W810" s="24"/>
      <c r="X810" s="25"/>
      <c r="Y810" s="24"/>
      <c r="Z810" s="32"/>
    </row>
    <row r="811" spans="21:26">
      <c r="U811" s="23"/>
      <c r="V811" s="25"/>
      <c r="W811" s="24"/>
      <c r="X811" s="25"/>
      <c r="Y811" s="24"/>
      <c r="Z811" s="32"/>
    </row>
    <row r="812" spans="21:26">
      <c r="U812" s="23"/>
      <c r="V812" s="25"/>
      <c r="W812" s="24"/>
      <c r="X812" s="25"/>
      <c r="Y812" s="24"/>
      <c r="Z812" s="32"/>
    </row>
    <row r="813" spans="21:26">
      <c r="U813" s="23"/>
      <c r="V813" s="25"/>
      <c r="W813" s="24"/>
      <c r="X813" s="25"/>
      <c r="Y813" s="24"/>
      <c r="Z813" s="32"/>
    </row>
    <row r="814" spans="21:26">
      <c r="U814" s="23"/>
      <c r="V814" s="25"/>
      <c r="W814" s="24"/>
      <c r="X814" s="25"/>
      <c r="Y814" s="24"/>
      <c r="Z814" s="32"/>
    </row>
    <row r="815" spans="21:26">
      <c r="U815" s="23"/>
      <c r="V815" s="25"/>
      <c r="W815" s="24"/>
      <c r="X815" s="25"/>
      <c r="Y815" s="24"/>
      <c r="Z815" s="32"/>
    </row>
    <row r="816" spans="21:26">
      <c r="U816" s="23"/>
      <c r="V816" s="25"/>
      <c r="W816" s="24"/>
      <c r="X816" s="25"/>
      <c r="Y816" s="24"/>
      <c r="Z816" s="32"/>
    </row>
    <row r="817" spans="21:26">
      <c r="U817" s="23"/>
      <c r="V817" s="25"/>
      <c r="W817" s="24"/>
      <c r="X817" s="25"/>
      <c r="Y817" s="24"/>
      <c r="Z817" s="32"/>
    </row>
    <row r="818" spans="21:26">
      <c r="U818" s="23"/>
      <c r="V818" s="25"/>
      <c r="W818" s="24"/>
      <c r="X818" s="25"/>
      <c r="Y818" s="24"/>
      <c r="Z818" s="32"/>
    </row>
    <row r="819" spans="21:26">
      <c r="U819" s="23"/>
      <c r="V819" s="25"/>
      <c r="W819" s="24"/>
      <c r="X819" s="25"/>
      <c r="Y819" s="24"/>
      <c r="Z819" s="32"/>
    </row>
    <row r="820" spans="21:26">
      <c r="U820" s="23"/>
      <c r="V820" s="25"/>
      <c r="W820" s="24"/>
      <c r="X820" s="25"/>
      <c r="Y820" s="24"/>
      <c r="Z820" s="32"/>
    </row>
    <row r="821" spans="21:26">
      <c r="U821" s="23"/>
      <c r="V821" s="25"/>
      <c r="W821" s="24"/>
      <c r="X821" s="25"/>
      <c r="Y821" s="24"/>
      <c r="Z821" s="32"/>
    </row>
    <row r="822" spans="21:26">
      <c r="U822" s="23"/>
      <c r="V822" s="25"/>
      <c r="W822" s="24"/>
      <c r="X822" s="25"/>
      <c r="Y822" s="24"/>
      <c r="Z822" s="32"/>
    </row>
    <row r="823" spans="21:26">
      <c r="U823" s="23"/>
      <c r="V823" s="25"/>
      <c r="W823" s="24"/>
      <c r="X823" s="25"/>
      <c r="Y823" s="24"/>
      <c r="Z823" s="32"/>
    </row>
    <row r="824" spans="21:26">
      <c r="U824" s="23"/>
      <c r="V824" s="25"/>
      <c r="W824" s="24"/>
      <c r="X824" s="25"/>
      <c r="Y824" s="24"/>
      <c r="Z824" s="32"/>
    </row>
    <row r="825" spans="21:26">
      <c r="U825" s="23"/>
      <c r="V825" s="25"/>
      <c r="W825" s="24"/>
      <c r="X825" s="25"/>
      <c r="Y825" s="24"/>
      <c r="Z825" s="32"/>
    </row>
    <row r="826" spans="21:26">
      <c r="U826" s="23"/>
      <c r="V826" s="25"/>
      <c r="W826" s="24"/>
      <c r="X826" s="25"/>
      <c r="Y826" s="24"/>
      <c r="Z826" s="32"/>
    </row>
    <row r="827" spans="21:26">
      <c r="U827" s="23"/>
      <c r="V827" s="25"/>
      <c r="W827" s="24"/>
      <c r="X827" s="25"/>
      <c r="Y827" s="24"/>
      <c r="Z827" s="32"/>
    </row>
    <row r="828" spans="21:26">
      <c r="U828" s="23"/>
      <c r="V828" s="25"/>
      <c r="W828" s="24"/>
      <c r="X828" s="25"/>
      <c r="Y828" s="24"/>
      <c r="Z828" s="32"/>
    </row>
    <row r="829" spans="21:26">
      <c r="U829" s="23"/>
      <c r="V829" s="25"/>
      <c r="W829" s="24"/>
      <c r="X829" s="25"/>
      <c r="Y829" s="24"/>
      <c r="Z829" s="32"/>
    </row>
    <row r="830" spans="21:26">
      <c r="U830" s="23"/>
      <c r="V830" s="25"/>
      <c r="W830" s="24"/>
      <c r="X830" s="25"/>
      <c r="Y830" s="24"/>
      <c r="Z830" s="32"/>
    </row>
    <row r="831" spans="21:26">
      <c r="U831" s="23"/>
      <c r="V831" s="25"/>
      <c r="W831" s="24"/>
      <c r="X831" s="25"/>
      <c r="Y831" s="24"/>
      <c r="Z831" s="32"/>
    </row>
    <row r="832" spans="21:26">
      <c r="U832" s="23"/>
      <c r="V832" s="25"/>
      <c r="W832" s="24"/>
      <c r="X832" s="25"/>
      <c r="Y832" s="24"/>
      <c r="Z832" s="32"/>
    </row>
    <row r="833" spans="21:26">
      <c r="U833" s="23"/>
      <c r="V833" s="25"/>
      <c r="W833" s="24"/>
      <c r="X833" s="25"/>
      <c r="Y833" s="24"/>
      <c r="Z833" s="32"/>
    </row>
    <row r="834" spans="21:26">
      <c r="U834" s="23"/>
      <c r="V834" s="25"/>
      <c r="W834" s="24"/>
      <c r="X834" s="25"/>
      <c r="Y834" s="24"/>
      <c r="Z834" s="32"/>
    </row>
    <row r="835" spans="21:26">
      <c r="U835" s="23"/>
      <c r="V835" s="25"/>
      <c r="W835" s="24"/>
      <c r="X835" s="25"/>
      <c r="Y835" s="24"/>
      <c r="Z835" s="32"/>
    </row>
    <row r="836" spans="21:26">
      <c r="U836" s="23"/>
      <c r="V836" s="25"/>
      <c r="W836" s="24"/>
      <c r="X836" s="25"/>
      <c r="Y836" s="24"/>
      <c r="Z836" s="32"/>
    </row>
    <row r="837" spans="21:26">
      <c r="U837" s="23"/>
      <c r="V837" s="25"/>
      <c r="W837" s="24"/>
      <c r="X837" s="25"/>
      <c r="Y837" s="24"/>
      <c r="Z837" s="32"/>
    </row>
    <row r="838" spans="21:26">
      <c r="U838" s="23"/>
      <c r="V838" s="25"/>
      <c r="W838" s="24"/>
      <c r="X838" s="25"/>
      <c r="Y838" s="24"/>
      <c r="Z838" s="32"/>
    </row>
    <row r="839" spans="21:26">
      <c r="U839" s="23"/>
      <c r="V839" s="25"/>
      <c r="W839" s="24"/>
      <c r="X839" s="25"/>
      <c r="Y839" s="24"/>
      <c r="Z839" s="32"/>
    </row>
    <row r="840" spans="21:26">
      <c r="U840" s="23"/>
      <c r="V840" s="25"/>
      <c r="W840" s="24"/>
      <c r="X840" s="25"/>
      <c r="Y840" s="24"/>
      <c r="Z840" s="32"/>
    </row>
    <row r="841" spans="21:26">
      <c r="U841" s="23"/>
      <c r="V841" s="25"/>
      <c r="W841" s="24"/>
      <c r="X841" s="25"/>
      <c r="Y841" s="24"/>
      <c r="Z841" s="32"/>
    </row>
    <row r="842" spans="21:26">
      <c r="U842" s="23"/>
      <c r="V842" s="25"/>
      <c r="W842" s="24"/>
      <c r="X842" s="25"/>
      <c r="Y842" s="24"/>
      <c r="Z842" s="32"/>
    </row>
    <row r="843" spans="21:26">
      <c r="U843" s="23"/>
      <c r="V843" s="25"/>
      <c r="W843" s="24"/>
      <c r="X843" s="25"/>
      <c r="Y843" s="24"/>
      <c r="Z843" s="32"/>
    </row>
    <row r="844" spans="21:26">
      <c r="U844" s="23"/>
      <c r="V844" s="25"/>
      <c r="W844" s="24"/>
      <c r="X844" s="25"/>
      <c r="Y844" s="24"/>
      <c r="Z844" s="32"/>
    </row>
    <row r="845" spans="21:26">
      <c r="U845" s="23"/>
      <c r="V845" s="25"/>
      <c r="W845" s="24"/>
      <c r="X845" s="25"/>
      <c r="Y845" s="24"/>
      <c r="Z845" s="32"/>
    </row>
    <row r="846" spans="21:26">
      <c r="U846" s="23"/>
      <c r="V846" s="25"/>
      <c r="W846" s="24"/>
      <c r="X846" s="25"/>
      <c r="Y846" s="24"/>
      <c r="Z846" s="32"/>
    </row>
    <row r="847" spans="21:26">
      <c r="U847" s="23"/>
      <c r="V847" s="25"/>
      <c r="W847" s="24"/>
      <c r="X847" s="25"/>
      <c r="Y847" s="24"/>
      <c r="Z847" s="32"/>
    </row>
    <row r="848" spans="21:26">
      <c r="U848" s="23"/>
      <c r="V848" s="25"/>
      <c r="W848" s="24"/>
      <c r="X848" s="25"/>
      <c r="Y848" s="24"/>
      <c r="Z848" s="32"/>
    </row>
    <row r="849" spans="21:26">
      <c r="U849" s="23"/>
      <c r="V849" s="25"/>
      <c r="W849" s="24"/>
      <c r="X849" s="25"/>
      <c r="Y849" s="24"/>
      <c r="Z849" s="32"/>
    </row>
    <row r="850" spans="21:26">
      <c r="U850" s="23"/>
      <c r="V850" s="25"/>
      <c r="W850" s="24"/>
      <c r="X850" s="25"/>
      <c r="Y850" s="24"/>
      <c r="Z850" s="32"/>
    </row>
    <row r="851" spans="21:26">
      <c r="U851" s="23"/>
      <c r="V851" s="25"/>
      <c r="W851" s="24"/>
      <c r="X851" s="25"/>
      <c r="Y851" s="24"/>
      <c r="Z851" s="32"/>
    </row>
    <row r="852" spans="21:26">
      <c r="U852" s="23"/>
      <c r="V852" s="25"/>
      <c r="W852" s="24"/>
      <c r="X852" s="25"/>
      <c r="Y852" s="24"/>
      <c r="Z852" s="32"/>
    </row>
    <row r="853" spans="21:26">
      <c r="U853" s="23"/>
      <c r="V853" s="25"/>
      <c r="W853" s="24"/>
      <c r="X853" s="25"/>
      <c r="Y853" s="24"/>
      <c r="Z853" s="32"/>
    </row>
    <row r="854" spans="21:26">
      <c r="U854" s="23"/>
      <c r="V854" s="25"/>
      <c r="W854" s="24"/>
      <c r="X854" s="25"/>
      <c r="Y854" s="24"/>
      <c r="Z854" s="32"/>
    </row>
    <row r="855" spans="21:26">
      <c r="U855" s="23"/>
      <c r="V855" s="25"/>
      <c r="W855" s="24"/>
      <c r="X855" s="25"/>
      <c r="Y855" s="24"/>
      <c r="Z855" s="32"/>
    </row>
    <row r="856" spans="21:26">
      <c r="U856" s="23"/>
      <c r="V856" s="25"/>
      <c r="W856" s="24"/>
      <c r="X856" s="25"/>
      <c r="Y856" s="24"/>
      <c r="Z856" s="32"/>
    </row>
    <row r="857" spans="21:26">
      <c r="U857" s="23"/>
      <c r="V857" s="25"/>
      <c r="W857" s="24"/>
      <c r="X857" s="25"/>
      <c r="Y857" s="24"/>
      <c r="Z857" s="32"/>
    </row>
    <row r="858" spans="21:26">
      <c r="U858" s="23"/>
      <c r="V858" s="25"/>
      <c r="W858" s="24"/>
      <c r="X858" s="25"/>
      <c r="Y858" s="24"/>
      <c r="Z858" s="32"/>
    </row>
    <row r="859" spans="21:26">
      <c r="U859" s="23"/>
      <c r="V859" s="25"/>
      <c r="W859" s="24"/>
      <c r="X859" s="25"/>
      <c r="Y859" s="24"/>
      <c r="Z859" s="32"/>
    </row>
    <row r="860" spans="21:26">
      <c r="U860" s="23"/>
      <c r="V860" s="25"/>
      <c r="W860" s="24"/>
      <c r="X860" s="25"/>
      <c r="Y860" s="24"/>
      <c r="Z860" s="32"/>
    </row>
    <row r="861" spans="21:26">
      <c r="U861" s="23"/>
      <c r="V861" s="25"/>
      <c r="W861" s="24"/>
      <c r="X861" s="25"/>
      <c r="Y861" s="24"/>
      <c r="Z861" s="32"/>
    </row>
    <row r="862" spans="21:26">
      <c r="U862" s="23"/>
      <c r="V862" s="25"/>
      <c r="W862" s="24"/>
      <c r="X862" s="25"/>
      <c r="Y862" s="24"/>
      <c r="Z862" s="32"/>
    </row>
    <row r="863" spans="21:26">
      <c r="U863" s="23"/>
      <c r="V863" s="25"/>
      <c r="W863" s="24"/>
      <c r="X863" s="25"/>
      <c r="Y863" s="24"/>
      <c r="Z863" s="32"/>
    </row>
    <row r="864" spans="21:26">
      <c r="U864" s="23"/>
      <c r="V864" s="25"/>
      <c r="W864" s="24"/>
      <c r="X864" s="25"/>
      <c r="Y864" s="24"/>
      <c r="Z864" s="32"/>
    </row>
    <row r="865" spans="21:26">
      <c r="U865" s="23"/>
      <c r="V865" s="25"/>
      <c r="W865" s="24"/>
      <c r="X865" s="25"/>
      <c r="Y865" s="24"/>
      <c r="Z865" s="32"/>
    </row>
    <row r="866" spans="21:26">
      <c r="U866" s="23"/>
      <c r="V866" s="25"/>
      <c r="W866" s="24"/>
      <c r="X866" s="25"/>
      <c r="Y866" s="24"/>
      <c r="Z866" s="32"/>
    </row>
    <row r="867" spans="21:26">
      <c r="U867" s="23"/>
      <c r="V867" s="25"/>
      <c r="W867" s="24"/>
      <c r="X867" s="25"/>
      <c r="Y867" s="24"/>
      <c r="Z867" s="32"/>
    </row>
    <row r="868" spans="21:26">
      <c r="U868" s="23"/>
      <c r="V868" s="25"/>
      <c r="W868" s="24"/>
      <c r="X868" s="25"/>
      <c r="Y868" s="24"/>
      <c r="Z868" s="32"/>
    </row>
    <row r="869" spans="21:26">
      <c r="U869" s="23"/>
      <c r="V869" s="25"/>
      <c r="W869" s="24"/>
      <c r="X869" s="25"/>
      <c r="Y869" s="24"/>
      <c r="Z869" s="32"/>
    </row>
    <row r="870" spans="21:26">
      <c r="U870" s="23"/>
      <c r="V870" s="25"/>
      <c r="W870" s="24"/>
      <c r="X870" s="25"/>
      <c r="Y870" s="24"/>
      <c r="Z870" s="32"/>
    </row>
    <row r="871" spans="21:26">
      <c r="U871" s="23"/>
      <c r="V871" s="25"/>
      <c r="W871" s="24"/>
      <c r="X871" s="25"/>
      <c r="Y871" s="24"/>
      <c r="Z871" s="32"/>
    </row>
    <row r="872" spans="21:26">
      <c r="U872" s="23"/>
      <c r="V872" s="25"/>
      <c r="W872" s="24"/>
      <c r="X872" s="25"/>
      <c r="Y872" s="24"/>
      <c r="Z872" s="32"/>
    </row>
    <row r="873" spans="21:26">
      <c r="U873" s="23"/>
      <c r="V873" s="25"/>
      <c r="W873" s="24"/>
      <c r="X873" s="25"/>
      <c r="Y873" s="24"/>
      <c r="Z873" s="32"/>
    </row>
    <row r="874" spans="21:26">
      <c r="U874" s="23"/>
      <c r="V874" s="25"/>
      <c r="W874" s="24"/>
      <c r="X874" s="25"/>
      <c r="Y874" s="24"/>
      <c r="Z874" s="32"/>
    </row>
    <row r="875" spans="21:26">
      <c r="U875" s="23"/>
      <c r="V875" s="25"/>
      <c r="W875" s="24"/>
      <c r="X875" s="25"/>
      <c r="Y875" s="24"/>
      <c r="Z875" s="32"/>
    </row>
    <row r="876" spans="21:26">
      <c r="U876" s="23"/>
      <c r="V876" s="25"/>
      <c r="W876" s="24"/>
      <c r="X876" s="25"/>
      <c r="Y876" s="24"/>
      <c r="Z876" s="32"/>
    </row>
    <row r="877" spans="21:26">
      <c r="U877" s="23"/>
      <c r="V877" s="25"/>
      <c r="W877" s="24"/>
      <c r="X877" s="25"/>
      <c r="Y877" s="24"/>
      <c r="Z877" s="32"/>
    </row>
    <row r="878" spans="21:26">
      <c r="U878" s="23"/>
      <c r="V878" s="25"/>
      <c r="W878" s="24"/>
      <c r="X878" s="25"/>
      <c r="Y878" s="24"/>
      <c r="Z878" s="32"/>
    </row>
    <row r="879" spans="21:26">
      <c r="U879" s="23"/>
      <c r="V879" s="25"/>
      <c r="W879" s="24"/>
      <c r="X879" s="25"/>
      <c r="Y879" s="24"/>
      <c r="Z879" s="32"/>
    </row>
    <row r="880" spans="21:26">
      <c r="U880" s="23"/>
      <c r="V880" s="25"/>
      <c r="W880" s="24"/>
      <c r="X880" s="25"/>
      <c r="Y880" s="24"/>
      <c r="Z880" s="32"/>
    </row>
    <row r="881" spans="21:26">
      <c r="U881" s="23"/>
      <c r="V881" s="25"/>
      <c r="W881" s="24"/>
      <c r="X881" s="25"/>
      <c r="Y881" s="24"/>
      <c r="Z881" s="32"/>
    </row>
    <row r="882" spans="21:26">
      <c r="U882" s="23"/>
      <c r="V882" s="25"/>
      <c r="W882" s="24"/>
      <c r="X882" s="25"/>
      <c r="Y882" s="24"/>
      <c r="Z882" s="32"/>
    </row>
    <row r="883" spans="21:26">
      <c r="U883" s="23"/>
      <c r="V883" s="25"/>
      <c r="W883" s="24"/>
      <c r="X883" s="25"/>
      <c r="Y883" s="24"/>
      <c r="Z883" s="32"/>
    </row>
    <row r="884" spans="21:26">
      <c r="U884" s="23"/>
      <c r="V884" s="25"/>
      <c r="W884" s="24"/>
      <c r="X884" s="25"/>
      <c r="Y884" s="24"/>
      <c r="Z884" s="32"/>
    </row>
    <row r="885" spans="21:26">
      <c r="U885" s="23"/>
      <c r="V885" s="25"/>
      <c r="W885" s="24"/>
      <c r="X885" s="25"/>
      <c r="Y885" s="24"/>
      <c r="Z885" s="32"/>
    </row>
    <row r="886" spans="21:26">
      <c r="U886" s="23"/>
      <c r="V886" s="25"/>
      <c r="W886" s="24"/>
      <c r="X886" s="25"/>
      <c r="Y886" s="24"/>
      <c r="Z886" s="32"/>
    </row>
    <row r="887" spans="21:26">
      <c r="U887" s="23"/>
      <c r="V887" s="25"/>
      <c r="W887" s="24"/>
      <c r="X887" s="25"/>
      <c r="Y887" s="24"/>
      <c r="Z887" s="32"/>
    </row>
    <row r="888" spans="21:26">
      <c r="U888" s="23"/>
      <c r="V888" s="25"/>
      <c r="W888" s="24"/>
      <c r="X888" s="25"/>
      <c r="Y888" s="24"/>
      <c r="Z888" s="32"/>
    </row>
    <row r="889" spans="21:26">
      <c r="U889" s="23"/>
      <c r="V889" s="25"/>
      <c r="W889" s="24"/>
      <c r="X889" s="25"/>
      <c r="Y889" s="24"/>
      <c r="Z889" s="32"/>
    </row>
    <row r="890" spans="21:26">
      <c r="U890" s="23"/>
      <c r="V890" s="25"/>
      <c r="W890" s="24"/>
      <c r="X890" s="25"/>
      <c r="Y890" s="24"/>
      <c r="Z890" s="32"/>
    </row>
    <row r="891" spans="21:26">
      <c r="U891" s="23"/>
      <c r="V891" s="25"/>
      <c r="W891" s="24"/>
      <c r="X891" s="25"/>
      <c r="Y891" s="24"/>
      <c r="Z891" s="32"/>
    </row>
    <row r="892" spans="21:26">
      <c r="U892" s="23"/>
      <c r="V892" s="25"/>
      <c r="W892" s="24"/>
      <c r="X892" s="25"/>
      <c r="Y892" s="24"/>
      <c r="Z892" s="32"/>
    </row>
    <row r="893" spans="21:26">
      <c r="U893" s="23"/>
      <c r="V893" s="25"/>
      <c r="W893" s="24"/>
      <c r="X893" s="25"/>
      <c r="Y893" s="24"/>
      <c r="Z893" s="32"/>
    </row>
    <row r="894" spans="21:26">
      <c r="U894" s="23"/>
      <c r="V894" s="25"/>
      <c r="W894" s="24"/>
      <c r="X894" s="25"/>
      <c r="Y894" s="24"/>
      <c r="Z894" s="32"/>
    </row>
    <row r="895" spans="21:26">
      <c r="U895" s="23"/>
      <c r="V895" s="25"/>
      <c r="W895" s="24"/>
      <c r="X895" s="25"/>
      <c r="Y895" s="24"/>
      <c r="Z895" s="32"/>
    </row>
    <row r="896" spans="21:26">
      <c r="U896" s="23"/>
      <c r="V896" s="25"/>
      <c r="W896" s="24"/>
      <c r="X896" s="25"/>
      <c r="Y896" s="24"/>
      <c r="Z896" s="32"/>
    </row>
    <row r="897" spans="21:26">
      <c r="U897" s="23"/>
      <c r="V897" s="25"/>
      <c r="W897" s="24"/>
      <c r="X897" s="25"/>
      <c r="Y897" s="24"/>
      <c r="Z897" s="32"/>
    </row>
    <row r="898" spans="21:26">
      <c r="U898" s="23"/>
      <c r="V898" s="25"/>
      <c r="W898" s="24"/>
      <c r="X898" s="25"/>
      <c r="Y898" s="24"/>
      <c r="Z898" s="32"/>
    </row>
    <row r="899" spans="21:26">
      <c r="U899" s="23"/>
      <c r="V899" s="25"/>
      <c r="W899" s="24"/>
      <c r="X899" s="25"/>
      <c r="Y899" s="24"/>
      <c r="Z899" s="32"/>
    </row>
    <row r="900" spans="21:26">
      <c r="U900" s="23"/>
      <c r="V900" s="25"/>
      <c r="W900" s="24"/>
      <c r="X900" s="25"/>
      <c r="Y900" s="24"/>
      <c r="Z900" s="32"/>
    </row>
    <row r="901" spans="21:26">
      <c r="U901" s="23"/>
      <c r="V901" s="25"/>
      <c r="W901" s="24"/>
      <c r="X901" s="25"/>
      <c r="Y901" s="24"/>
      <c r="Z901" s="32"/>
    </row>
    <row r="902" spans="21:26">
      <c r="U902" s="23"/>
      <c r="V902" s="25"/>
      <c r="W902" s="24"/>
      <c r="X902" s="25"/>
      <c r="Y902" s="24"/>
      <c r="Z902" s="32"/>
    </row>
    <row r="903" spans="21:26">
      <c r="U903" s="23"/>
      <c r="V903" s="25"/>
      <c r="W903" s="24"/>
      <c r="X903" s="25"/>
      <c r="Y903" s="24"/>
      <c r="Z903" s="32"/>
    </row>
    <row r="904" spans="21:26">
      <c r="U904" s="23"/>
      <c r="V904" s="25"/>
      <c r="W904" s="24"/>
      <c r="X904" s="25"/>
      <c r="Y904" s="24"/>
      <c r="Z904" s="32"/>
    </row>
    <row r="905" spans="21:26">
      <c r="U905" s="23"/>
      <c r="V905" s="25"/>
      <c r="W905" s="24"/>
      <c r="X905" s="25"/>
      <c r="Y905" s="24"/>
      <c r="Z905" s="32"/>
    </row>
    <row r="906" spans="21:26">
      <c r="U906" s="23"/>
      <c r="V906" s="25"/>
      <c r="W906" s="24"/>
      <c r="X906" s="25"/>
      <c r="Y906" s="24"/>
      <c r="Z906" s="32"/>
    </row>
    <row r="907" spans="21:26">
      <c r="U907" s="23"/>
      <c r="V907" s="25"/>
      <c r="W907" s="24"/>
      <c r="X907" s="25"/>
      <c r="Y907" s="24"/>
      <c r="Z907" s="32"/>
    </row>
    <row r="908" spans="21:26">
      <c r="U908" s="23"/>
      <c r="V908" s="25"/>
      <c r="W908" s="24"/>
      <c r="X908" s="25"/>
      <c r="Y908" s="24"/>
      <c r="Z908" s="32"/>
    </row>
    <row r="909" spans="21:26">
      <c r="U909" s="23"/>
      <c r="V909" s="25"/>
      <c r="W909" s="24"/>
      <c r="X909" s="25"/>
      <c r="Y909" s="24"/>
      <c r="Z909" s="32"/>
    </row>
    <row r="910" spans="21:26">
      <c r="U910" s="23"/>
      <c r="V910" s="25"/>
      <c r="W910" s="24"/>
      <c r="X910" s="25"/>
      <c r="Y910" s="24"/>
      <c r="Z910" s="32"/>
    </row>
    <row r="911" spans="21:26">
      <c r="U911" s="23"/>
      <c r="V911" s="25"/>
      <c r="W911" s="24"/>
      <c r="X911" s="25"/>
      <c r="Y911" s="24"/>
      <c r="Z911" s="32"/>
    </row>
    <row r="912" spans="21:26">
      <c r="U912" s="23"/>
      <c r="V912" s="25"/>
      <c r="W912" s="24"/>
      <c r="X912" s="25"/>
      <c r="Y912" s="24"/>
      <c r="Z912" s="32"/>
    </row>
    <row r="913" spans="21:26">
      <c r="U913" s="23"/>
      <c r="V913" s="25"/>
      <c r="W913" s="24"/>
      <c r="X913" s="25"/>
      <c r="Y913" s="24"/>
      <c r="Z913" s="32"/>
    </row>
    <row r="914" spans="21:26">
      <c r="U914" s="23"/>
      <c r="V914" s="25"/>
      <c r="W914" s="24"/>
      <c r="X914" s="25"/>
      <c r="Y914" s="24"/>
      <c r="Z914" s="32"/>
    </row>
    <row r="915" spans="21:26">
      <c r="U915" s="23"/>
      <c r="V915" s="25"/>
      <c r="W915" s="24"/>
      <c r="X915" s="25"/>
      <c r="Y915" s="24"/>
      <c r="Z915" s="32"/>
    </row>
    <row r="916" spans="21:26">
      <c r="U916" s="23"/>
      <c r="V916" s="25"/>
      <c r="W916" s="24"/>
      <c r="X916" s="25"/>
      <c r="Y916" s="24"/>
      <c r="Z916" s="32"/>
    </row>
    <row r="917" spans="21:26">
      <c r="U917" s="23"/>
      <c r="V917" s="25"/>
      <c r="W917" s="24"/>
      <c r="X917" s="25"/>
      <c r="Y917" s="24"/>
      <c r="Z917" s="32"/>
    </row>
    <row r="918" spans="21:26">
      <c r="U918" s="23"/>
      <c r="V918" s="25"/>
      <c r="W918" s="24"/>
      <c r="X918" s="25"/>
      <c r="Y918" s="24"/>
      <c r="Z918" s="32"/>
    </row>
    <row r="919" spans="21:26">
      <c r="U919" s="23"/>
      <c r="V919" s="25"/>
      <c r="W919" s="24"/>
      <c r="X919" s="25"/>
      <c r="Y919" s="24"/>
      <c r="Z919" s="32"/>
    </row>
    <row r="920" spans="21:26">
      <c r="U920" s="23"/>
      <c r="V920" s="25"/>
      <c r="W920" s="24"/>
      <c r="X920" s="25"/>
      <c r="Y920" s="24"/>
      <c r="Z920" s="32"/>
    </row>
    <row r="921" spans="21:26">
      <c r="U921" s="23"/>
      <c r="V921" s="25"/>
      <c r="W921" s="24"/>
      <c r="X921" s="25"/>
      <c r="Y921" s="24"/>
      <c r="Z921" s="32"/>
    </row>
    <row r="922" spans="21:26">
      <c r="U922" s="23"/>
      <c r="V922" s="25"/>
      <c r="W922" s="24"/>
      <c r="X922" s="25"/>
      <c r="Y922" s="24"/>
      <c r="Z922" s="32"/>
    </row>
    <row r="923" spans="21:26">
      <c r="U923" s="23"/>
      <c r="V923" s="25"/>
      <c r="W923" s="24"/>
      <c r="X923" s="25"/>
      <c r="Y923" s="24"/>
      <c r="Z923" s="32"/>
    </row>
    <row r="924" spans="21:26">
      <c r="U924" s="23"/>
      <c r="V924" s="25"/>
      <c r="W924" s="24"/>
      <c r="X924" s="25"/>
      <c r="Y924" s="24"/>
      <c r="Z924" s="32"/>
    </row>
    <row r="925" spans="21:26">
      <c r="U925" s="23"/>
      <c r="V925" s="25"/>
      <c r="W925" s="24"/>
      <c r="X925" s="25"/>
      <c r="Y925" s="24"/>
      <c r="Z925" s="32"/>
    </row>
    <row r="926" spans="21:26">
      <c r="U926" s="23"/>
      <c r="V926" s="25"/>
      <c r="W926" s="24"/>
      <c r="X926" s="25"/>
      <c r="Y926" s="24"/>
      <c r="Z926" s="32"/>
    </row>
    <row r="927" spans="21:26">
      <c r="U927" s="23"/>
      <c r="V927" s="25"/>
      <c r="W927" s="24"/>
      <c r="X927" s="25"/>
      <c r="Y927" s="24"/>
      <c r="Z927" s="32"/>
    </row>
    <row r="928" spans="21:26">
      <c r="U928" s="23"/>
      <c r="V928" s="25"/>
      <c r="W928" s="24"/>
      <c r="X928" s="25"/>
      <c r="Y928" s="24"/>
      <c r="Z928" s="32"/>
    </row>
    <row r="929" spans="21:26">
      <c r="U929" s="23"/>
      <c r="V929" s="25"/>
      <c r="W929" s="24"/>
      <c r="X929" s="25"/>
      <c r="Y929" s="24"/>
      <c r="Z929" s="32"/>
    </row>
    <row r="930" spans="21:26">
      <c r="U930" s="23"/>
      <c r="V930" s="25"/>
      <c r="W930" s="24"/>
      <c r="X930" s="25"/>
      <c r="Y930" s="24"/>
      <c r="Z930" s="32"/>
    </row>
    <row r="931" spans="21:26">
      <c r="U931" s="23"/>
      <c r="V931" s="25"/>
      <c r="W931" s="24"/>
      <c r="X931" s="25"/>
      <c r="Y931" s="24"/>
      <c r="Z931" s="32"/>
    </row>
    <row r="932" spans="21:26">
      <c r="U932" s="23"/>
      <c r="V932" s="25"/>
      <c r="W932" s="24"/>
      <c r="X932" s="25"/>
      <c r="Y932" s="24"/>
      <c r="Z932" s="32"/>
    </row>
    <row r="933" spans="21:26">
      <c r="U933" s="23"/>
      <c r="V933" s="25"/>
      <c r="W933" s="24"/>
      <c r="X933" s="25"/>
      <c r="Y933" s="24"/>
      <c r="Z933" s="32"/>
    </row>
    <row r="934" spans="21:26">
      <c r="U934" s="23"/>
      <c r="V934" s="25"/>
      <c r="W934" s="24"/>
      <c r="X934" s="25"/>
      <c r="Y934" s="24"/>
      <c r="Z934" s="32"/>
    </row>
    <row r="935" spans="21:26">
      <c r="U935" s="23"/>
      <c r="V935" s="25"/>
      <c r="W935" s="24"/>
      <c r="X935" s="25"/>
      <c r="Y935" s="24"/>
      <c r="Z935" s="32"/>
    </row>
    <row r="936" spans="21:26">
      <c r="U936" s="23"/>
      <c r="V936" s="25"/>
      <c r="W936" s="24"/>
      <c r="X936" s="25"/>
      <c r="Y936" s="24"/>
      <c r="Z936" s="32"/>
    </row>
    <row r="937" spans="21:26">
      <c r="U937" s="23"/>
      <c r="V937" s="25"/>
      <c r="W937" s="24"/>
      <c r="X937" s="25"/>
      <c r="Y937" s="24"/>
      <c r="Z937" s="32"/>
    </row>
    <row r="938" spans="21:26">
      <c r="U938" s="23"/>
      <c r="V938" s="25"/>
      <c r="W938" s="24"/>
      <c r="X938" s="25"/>
      <c r="Y938" s="24"/>
      <c r="Z938" s="32"/>
    </row>
    <row r="939" spans="21:26">
      <c r="U939" s="23"/>
      <c r="V939" s="25"/>
      <c r="W939" s="24"/>
      <c r="X939" s="25"/>
      <c r="Y939" s="24"/>
      <c r="Z939" s="32"/>
    </row>
    <row r="940" spans="21:26">
      <c r="U940" s="23"/>
      <c r="V940" s="25"/>
      <c r="W940" s="24"/>
      <c r="X940" s="25"/>
      <c r="Y940" s="24"/>
      <c r="Z940" s="32"/>
    </row>
    <row r="941" spans="21:26">
      <c r="U941" s="23"/>
      <c r="V941" s="25"/>
      <c r="W941" s="24"/>
      <c r="X941" s="25"/>
      <c r="Y941" s="24"/>
      <c r="Z941" s="32"/>
    </row>
    <row r="942" spans="21:26">
      <c r="U942" s="23"/>
      <c r="V942" s="25"/>
      <c r="W942" s="24"/>
      <c r="X942" s="25"/>
      <c r="Y942" s="24"/>
      <c r="Z942" s="32"/>
    </row>
    <row r="943" spans="21:26">
      <c r="U943" s="23"/>
      <c r="V943" s="25"/>
      <c r="W943" s="24"/>
      <c r="X943" s="25"/>
      <c r="Y943" s="24"/>
      <c r="Z943" s="32"/>
    </row>
    <row r="944" spans="21:26">
      <c r="U944" s="23"/>
      <c r="V944" s="25"/>
      <c r="W944" s="24"/>
      <c r="X944" s="25"/>
      <c r="Y944" s="24"/>
      <c r="Z944" s="32"/>
    </row>
    <row r="945" spans="21:26">
      <c r="U945" s="23"/>
      <c r="V945" s="25"/>
      <c r="W945" s="24"/>
      <c r="X945" s="25"/>
      <c r="Y945" s="24"/>
      <c r="Z945" s="32"/>
    </row>
    <row r="946" spans="21:26">
      <c r="U946" s="23"/>
      <c r="V946" s="25"/>
      <c r="W946" s="24"/>
      <c r="X946" s="25"/>
      <c r="Y946" s="24"/>
      <c r="Z946" s="32"/>
    </row>
    <row r="947" spans="21:26">
      <c r="U947" s="23"/>
      <c r="V947" s="25"/>
      <c r="W947" s="24"/>
      <c r="X947" s="25"/>
      <c r="Y947" s="24"/>
      <c r="Z947" s="32"/>
    </row>
    <row r="948" spans="21:26">
      <c r="U948" s="23"/>
      <c r="V948" s="25"/>
      <c r="W948" s="24"/>
      <c r="X948" s="25"/>
      <c r="Y948" s="24"/>
      <c r="Z948" s="32"/>
    </row>
    <row r="949" spans="21:26">
      <c r="U949" s="23"/>
      <c r="V949" s="25"/>
      <c r="W949" s="24"/>
      <c r="X949" s="25"/>
      <c r="Y949" s="24"/>
      <c r="Z949" s="32"/>
    </row>
    <row r="950" spans="21:26">
      <c r="U950" s="23"/>
      <c r="V950" s="25"/>
      <c r="W950" s="24"/>
      <c r="X950" s="25"/>
      <c r="Y950" s="24"/>
      <c r="Z950" s="32"/>
    </row>
    <row r="951" spans="21:26">
      <c r="U951" s="23"/>
      <c r="V951" s="25"/>
      <c r="W951" s="24"/>
      <c r="X951" s="25"/>
      <c r="Y951" s="24"/>
      <c r="Z951" s="32"/>
    </row>
    <row r="952" spans="21:26">
      <c r="U952" s="23"/>
      <c r="V952" s="25"/>
      <c r="W952" s="24"/>
      <c r="X952" s="25"/>
      <c r="Y952" s="24"/>
      <c r="Z952" s="32"/>
    </row>
    <row r="953" spans="21:26">
      <c r="U953" s="23"/>
      <c r="V953" s="25"/>
      <c r="W953" s="24"/>
      <c r="X953" s="25"/>
      <c r="Y953" s="24"/>
      <c r="Z953" s="32"/>
    </row>
    <row r="954" spans="21:26">
      <c r="U954" s="23"/>
      <c r="V954" s="25"/>
      <c r="W954" s="24"/>
      <c r="X954" s="25"/>
      <c r="Y954" s="24"/>
      <c r="Z954" s="32"/>
    </row>
    <row r="955" spans="21:26">
      <c r="U955" s="23"/>
      <c r="V955" s="25"/>
      <c r="W955" s="24"/>
      <c r="X955" s="25"/>
      <c r="Y955" s="24"/>
      <c r="Z955" s="32"/>
    </row>
    <row r="956" spans="21:26">
      <c r="U956" s="23"/>
      <c r="V956" s="25"/>
      <c r="W956" s="24"/>
      <c r="X956" s="25"/>
      <c r="Y956" s="24"/>
      <c r="Z956" s="32"/>
    </row>
    <row r="957" spans="21:26">
      <c r="U957" s="23"/>
      <c r="V957" s="25"/>
      <c r="W957" s="24"/>
      <c r="X957" s="25"/>
      <c r="Y957" s="24"/>
      <c r="Z957" s="32"/>
    </row>
    <row r="958" spans="21:26">
      <c r="U958" s="23"/>
      <c r="V958" s="25"/>
      <c r="W958" s="24"/>
      <c r="X958" s="25"/>
      <c r="Y958" s="24"/>
      <c r="Z958" s="32"/>
    </row>
    <row r="959" spans="21:26">
      <c r="U959" s="23"/>
      <c r="V959" s="25"/>
      <c r="W959" s="24"/>
      <c r="X959" s="25"/>
      <c r="Y959" s="24"/>
      <c r="Z959" s="32"/>
    </row>
    <row r="960" spans="21:26">
      <c r="U960" s="23"/>
      <c r="V960" s="25"/>
      <c r="W960" s="24"/>
      <c r="X960" s="25"/>
      <c r="Y960" s="24"/>
      <c r="Z960" s="32"/>
    </row>
    <row r="961" spans="21:26">
      <c r="U961" s="23"/>
      <c r="V961" s="25"/>
      <c r="W961" s="24"/>
      <c r="X961" s="25"/>
      <c r="Y961" s="24"/>
      <c r="Z961" s="32"/>
    </row>
    <row r="962" spans="21:26">
      <c r="U962" s="23"/>
      <c r="V962" s="25"/>
      <c r="W962" s="24"/>
      <c r="X962" s="25"/>
      <c r="Y962" s="24"/>
      <c r="Z962" s="32"/>
    </row>
    <row r="963" spans="21:26">
      <c r="U963" s="23"/>
      <c r="V963" s="25"/>
      <c r="W963" s="24"/>
      <c r="X963" s="25"/>
      <c r="Y963" s="24"/>
      <c r="Z963" s="32"/>
    </row>
    <row r="964" spans="21:26">
      <c r="U964" s="23"/>
      <c r="V964" s="25"/>
      <c r="W964" s="24"/>
      <c r="X964" s="25"/>
      <c r="Y964" s="24"/>
      <c r="Z964" s="32"/>
    </row>
    <row r="965" spans="21:26">
      <c r="U965" s="23"/>
      <c r="V965" s="25"/>
      <c r="W965" s="24"/>
      <c r="X965" s="25"/>
      <c r="Y965" s="24"/>
      <c r="Z965" s="32"/>
    </row>
    <row r="966" spans="21:26">
      <c r="U966" s="23"/>
      <c r="V966" s="25"/>
      <c r="W966" s="24"/>
      <c r="X966" s="25"/>
      <c r="Y966" s="24"/>
      <c r="Z966" s="32"/>
    </row>
    <row r="967" spans="21:26">
      <c r="U967" s="23"/>
      <c r="V967" s="25"/>
      <c r="W967" s="24"/>
      <c r="X967" s="25"/>
      <c r="Y967" s="24"/>
      <c r="Z967" s="32"/>
    </row>
    <row r="968" spans="21:26">
      <c r="U968" s="23"/>
      <c r="V968" s="25"/>
      <c r="W968" s="24"/>
      <c r="X968" s="25"/>
      <c r="Y968" s="24"/>
      <c r="Z968" s="32"/>
    </row>
    <row r="969" spans="21:26">
      <c r="U969" s="23"/>
      <c r="V969" s="25"/>
      <c r="W969" s="24"/>
      <c r="X969" s="25"/>
      <c r="Y969" s="24"/>
      <c r="Z969" s="32"/>
    </row>
    <row r="970" spans="21:26">
      <c r="U970" s="23"/>
      <c r="V970" s="25"/>
      <c r="W970" s="24"/>
      <c r="X970" s="25"/>
      <c r="Y970" s="24"/>
      <c r="Z970" s="32"/>
    </row>
    <row r="971" spans="21:26">
      <c r="U971" s="23"/>
      <c r="V971" s="25"/>
      <c r="W971" s="24"/>
      <c r="X971" s="25"/>
      <c r="Y971" s="24"/>
      <c r="Z971" s="32"/>
    </row>
    <row r="972" spans="21:26">
      <c r="U972" s="23"/>
      <c r="V972" s="25"/>
      <c r="W972" s="24"/>
      <c r="X972" s="25"/>
      <c r="Y972" s="24"/>
      <c r="Z972" s="32"/>
    </row>
    <row r="973" spans="21:26">
      <c r="U973" s="23"/>
      <c r="V973" s="25"/>
      <c r="W973" s="24"/>
      <c r="X973" s="25"/>
      <c r="Y973" s="24"/>
      <c r="Z973" s="32"/>
    </row>
    <row r="974" spans="21:26">
      <c r="U974" s="23"/>
      <c r="V974" s="25"/>
      <c r="W974" s="24"/>
      <c r="X974" s="25"/>
      <c r="Y974" s="24"/>
      <c r="Z974" s="32"/>
    </row>
    <row r="975" spans="21:26">
      <c r="U975" s="23"/>
      <c r="V975" s="25"/>
      <c r="W975" s="24"/>
      <c r="X975" s="25"/>
      <c r="Y975" s="24"/>
      <c r="Z975" s="32"/>
    </row>
    <row r="976" spans="21:26">
      <c r="U976" s="23"/>
      <c r="V976" s="25"/>
      <c r="W976" s="24"/>
      <c r="X976" s="25"/>
      <c r="Y976" s="24"/>
      <c r="Z976" s="32"/>
    </row>
    <row r="977" spans="21:26">
      <c r="U977" s="23"/>
      <c r="V977" s="25"/>
      <c r="W977" s="24"/>
      <c r="X977" s="25"/>
      <c r="Y977" s="24"/>
      <c r="Z977" s="32"/>
    </row>
    <row r="978" spans="21:26">
      <c r="U978" s="23"/>
      <c r="V978" s="25"/>
      <c r="W978" s="24"/>
      <c r="X978" s="25"/>
      <c r="Y978" s="24"/>
      <c r="Z978" s="32"/>
    </row>
    <row r="979" spans="21:26">
      <c r="U979" s="23"/>
      <c r="V979" s="25"/>
      <c r="W979" s="24"/>
      <c r="X979" s="25"/>
      <c r="Y979" s="24"/>
      <c r="Z979" s="32"/>
    </row>
    <row r="980" spans="21:26">
      <c r="U980" s="23"/>
      <c r="V980" s="25"/>
      <c r="W980" s="24"/>
      <c r="X980" s="25"/>
      <c r="Y980" s="24"/>
      <c r="Z980" s="32"/>
    </row>
    <row r="981" spans="21:26">
      <c r="U981" s="23"/>
      <c r="V981" s="25"/>
      <c r="W981" s="24"/>
      <c r="X981" s="25"/>
      <c r="Y981" s="24"/>
      <c r="Z981" s="32"/>
    </row>
    <row r="982" spans="21:26">
      <c r="U982" s="23"/>
      <c r="V982" s="25"/>
      <c r="W982" s="24"/>
      <c r="X982" s="25"/>
      <c r="Y982" s="24"/>
      <c r="Z982" s="32"/>
    </row>
    <row r="983" spans="21:26">
      <c r="U983" s="23"/>
      <c r="V983" s="25"/>
      <c r="W983" s="24"/>
      <c r="X983" s="25"/>
      <c r="Y983" s="24"/>
      <c r="Z983" s="32"/>
    </row>
    <row r="984" spans="21:26">
      <c r="U984" s="23"/>
      <c r="V984" s="25"/>
      <c r="W984" s="24"/>
      <c r="X984" s="25"/>
      <c r="Y984" s="24"/>
      <c r="Z984" s="32"/>
    </row>
    <row r="985" spans="21:26">
      <c r="U985" s="23"/>
      <c r="V985" s="25"/>
      <c r="W985" s="24"/>
      <c r="X985" s="25"/>
      <c r="Y985" s="24"/>
      <c r="Z985" s="32"/>
    </row>
    <row r="986" spans="21:26">
      <c r="U986" s="23"/>
      <c r="V986" s="25"/>
      <c r="W986" s="24"/>
      <c r="X986" s="25"/>
      <c r="Y986" s="24"/>
      <c r="Z986" s="32"/>
    </row>
    <row r="987" spans="21:26">
      <c r="U987" s="23"/>
      <c r="V987" s="25"/>
      <c r="W987" s="24"/>
      <c r="X987" s="25"/>
      <c r="Y987" s="24"/>
      <c r="Z987" s="32"/>
    </row>
    <row r="988" spans="21:26">
      <c r="U988" s="23"/>
      <c r="V988" s="25"/>
      <c r="W988" s="24"/>
      <c r="X988" s="25"/>
      <c r="Y988" s="24"/>
      <c r="Z988" s="32"/>
    </row>
    <row r="989" spans="21:26">
      <c r="U989" s="23"/>
      <c r="V989" s="25"/>
      <c r="W989" s="24"/>
      <c r="X989" s="25"/>
      <c r="Y989" s="24"/>
      <c r="Z989" s="32"/>
    </row>
    <row r="990" spans="21:26">
      <c r="U990" s="23"/>
      <c r="V990" s="25"/>
      <c r="W990" s="24"/>
      <c r="X990" s="25"/>
      <c r="Y990" s="24"/>
      <c r="Z990" s="32"/>
    </row>
    <row r="991" spans="21:26">
      <c r="U991" s="23"/>
      <c r="V991" s="25"/>
      <c r="W991" s="24"/>
      <c r="X991" s="25"/>
      <c r="Y991" s="24"/>
      <c r="Z991" s="32"/>
    </row>
    <row r="992" spans="21:26">
      <c r="U992" s="23"/>
      <c r="V992" s="25"/>
      <c r="W992" s="24"/>
      <c r="X992" s="25"/>
      <c r="Y992" s="24"/>
      <c r="Z992" s="32"/>
    </row>
    <row r="993" spans="21:26">
      <c r="U993" s="23"/>
      <c r="V993" s="25"/>
      <c r="W993" s="24"/>
      <c r="X993" s="25"/>
      <c r="Y993" s="24"/>
      <c r="Z993" s="32"/>
    </row>
    <row r="994" spans="21:26">
      <c r="U994" s="23"/>
      <c r="V994" s="25"/>
      <c r="W994" s="24"/>
      <c r="X994" s="25"/>
      <c r="Y994" s="24"/>
      <c r="Z994" s="32"/>
    </row>
    <row r="995" spans="21:26">
      <c r="U995" s="23"/>
      <c r="V995" s="25"/>
      <c r="W995" s="24"/>
      <c r="X995" s="25"/>
      <c r="Y995" s="24"/>
      <c r="Z995" s="32"/>
    </row>
    <row r="996" spans="21:26">
      <c r="U996" s="23"/>
      <c r="V996" s="25"/>
      <c r="W996" s="24"/>
      <c r="X996" s="25"/>
      <c r="Y996" s="24"/>
      <c r="Z996" s="32"/>
    </row>
    <row r="997" spans="21:26">
      <c r="U997" s="23"/>
      <c r="V997" s="25"/>
      <c r="W997" s="24"/>
      <c r="X997" s="25"/>
      <c r="Y997" s="24"/>
      <c r="Z997" s="32"/>
    </row>
    <row r="998" spans="21:26">
      <c r="U998" s="23"/>
      <c r="V998" s="25"/>
      <c r="W998" s="24"/>
      <c r="X998" s="25"/>
      <c r="Y998" s="24"/>
      <c r="Z998" s="32"/>
    </row>
    <row r="999" spans="21:26">
      <c r="U999" s="23"/>
      <c r="V999" s="25"/>
      <c r="W999" s="24"/>
      <c r="X999" s="25"/>
      <c r="Y999" s="24"/>
      <c r="Z999" s="32"/>
    </row>
    <row r="1000" spans="21:26">
      <c r="U1000" s="23"/>
      <c r="V1000" s="25"/>
      <c r="W1000" s="24"/>
      <c r="X1000" s="25"/>
      <c r="Y1000" s="24"/>
      <c r="Z1000" s="32"/>
    </row>
    <row r="1001" spans="21:26">
      <c r="U1001" s="23"/>
      <c r="V1001" s="25"/>
      <c r="W1001" s="24"/>
      <c r="X1001" s="25"/>
      <c r="Y1001" s="24"/>
      <c r="Z1001" s="32"/>
    </row>
    <row r="1002" spans="21:26">
      <c r="U1002" s="23"/>
      <c r="V1002" s="25"/>
      <c r="W1002" s="24"/>
      <c r="X1002" s="25"/>
      <c r="Y1002" s="24"/>
      <c r="Z1002" s="32"/>
    </row>
    <row r="1003" spans="21:26">
      <c r="U1003" s="23"/>
      <c r="V1003" s="25"/>
      <c r="W1003" s="24"/>
      <c r="X1003" s="25"/>
      <c r="Y1003" s="24"/>
      <c r="Z1003" s="32"/>
    </row>
    <row r="1004" spans="21:26">
      <c r="U1004" s="23"/>
      <c r="V1004" s="25"/>
      <c r="W1004" s="24"/>
      <c r="X1004" s="25"/>
      <c r="Y1004" s="24"/>
      <c r="Z1004" s="32"/>
    </row>
    <row r="1005" spans="21:26">
      <c r="U1005" s="23"/>
      <c r="V1005" s="25"/>
      <c r="W1005" s="24"/>
      <c r="X1005" s="25"/>
      <c r="Y1005" s="24"/>
      <c r="Z1005" s="32"/>
    </row>
    <row r="1006" spans="21:26">
      <c r="U1006" s="23"/>
      <c r="V1006" s="25"/>
      <c r="W1006" s="24"/>
      <c r="X1006" s="25"/>
      <c r="Y1006" s="24"/>
      <c r="Z1006" s="32"/>
    </row>
    <row r="1007" spans="21:26">
      <c r="U1007" s="23"/>
      <c r="V1007" s="25"/>
      <c r="W1007" s="24"/>
      <c r="X1007" s="25"/>
      <c r="Y1007" s="24"/>
      <c r="Z1007" s="32"/>
    </row>
    <row r="1008" spans="21:26">
      <c r="U1008" s="23"/>
      <c r="V1008" s="25"/>
      <c r="W1008" s="24"/>
      <c r="X1008" s="25"/>
      <c r="Y1008" s="24"/>
      <c r="Z1008" s="32"/>
    </row>
    <row r="1009" spans="21:26">
      <c r="U1009" s="23"/>
      <c r="V1009" s="25"/>
      <c r="W1009" s="24"/>
      <c r="X1009" s="25"/>
      <c r="Y1009" s="24"/>
      <c r="Z1009" s="32"/>
    </row>
    <row r="1010" spans="21:26">
      <c r="U1010" s="23"/>
      <c r="V1010" s="25"/>
      <c r="W1010" s="24"/>
      <c r="X1010" s="25"/>
      <c r="Y1010" s="24"/>
      <c r="Z1010" s="32"/>
    </row>
    <row r="1011" spans="21:26">
      <c r="U1011" s="23"/>
      <c r="V1011" s="25"/>
      <c r="W1011" s="24"/>
      <c r="X1011" s="25"/>
      <c r="Y1011" s="24"/>
      <c r="Z1011" s="32"/>
    </row>
    <row r="1012" spans="21:26">
      <c r="U1012" s="23"/>
      <c r="V1012" s="25"/>
      <c r="W1012" s="24"/>
      <c r="X1012" s="25"/>
      <c r="Y1012" s="24"/>
      <c r="Z1012" s="32"/>
    </row>
    <row r="1013" spans="21:26">
      <c r="U1013" s="23"/>
      <c r="V1013" s="25"/>
      <c r="W1013" s="24"/>
      <c r="X1013" s="25"/>
      <c r="Y1013" s="24"/>
      <c r="Z1013" s="32"/>
    </row>
    <row r="1014" spans="21:26">
      <c r="U1014" s="23"/>
      <c r="V1014" s="25"/>
      <c r="W1014" s="24"/>
      <c r="X1014" s="25"/>
      <c r="Y1014" s="24"/>
      <c r="Z1014" s="32"/>
    </row>
    <row r="1015" spans="21:26">
      <c r="U1015" s="23"/>
      <c r="V1015" s="25"/>
      <c r="W1015" s="24"/>
      <c r="X1015" s="25"/>
      <c r="Y1015" s="24"/>
      <c r="Z1015" s="32"/>
    </row>
    <row r="1016" spans="21:26">
      <c r="U1016" s="23"/>
      <c r="V1016" s="25"/>
      <c r="W1016" s="24"/>
      <c r="X1016" s="25"/>
      <c r="Y1016" s="24"/>
      <c r="Z1016" s="32"/>
    </row>
    <row r="1017" spans="21:26">
      <c r="U1017" s="23"/>
      <c r="V1017" s="25"/>
      <c r="W1017" s="24"/>
      <c r="X1017" s="25"/>
      <c r="Y1017" s="24"/>
      <c r="Z1017" s="32"/>
    </row>
    <row r="1018" spans="21:26">
      <c r="U1018" s="23"/>
      <c r="V1018" s="25"/>
      <c r="W1018" s="24"/>
      <c r="X1018" s="25"/>
      <c r="Y1018" s="24"/>
      <c r="Z1018" s="32"/>
    </row>
    <row r="1019" spans="21:26">
      <c r="U1019" s="23"/>
      <c r="V1019" s="25"/>
      <c r="W1019" s="24"/>
      <c r="X1019" s="25"/>
      <c r="Y1019" s="24"/>
      <c r="Z1019" s="32"/>
    </row>
    <row r="1020" spans="21:26">
      <c r="U1020" s="23"/>
      <c r="V1020" s="25"/>
      <c r="W1020" s="24"/>
      <c r="X1020" s="25"/>
      <c r="Y1020" s="24"/>
      <c r="Z1020" s="32"/>
    </row>
    <row r="1021" spans="21:26">
      <c r="U1021" s="23"/>
      <c r="V1021" s="25"/>
      <c r="W1021" s="24"/>
      <c r="X1021" s="25"/>
      <c r="Y1021" s="24"/>
      <c r="Z1021" s="32"/>
    </row>
    <row r="1022" spans="21:26">
      <c r="U1022" s="23"/>
      <c r="V1022" s="25"/>
      <c r="W1022" s="24"/>
      <c r="X1022" s="25"/>
      <c r="Y1022" s="24"/>
      <c r="Z1022" s="32"/>
    </row>
    <row r="1023" spans="21:26">
      <c r="U1023" s="23"/>
      <c r="V1023" s="25"/>
      <c r="W1023" s="24"/>
      <c r="X1023" s="25"/>
      <c r="Y1023" s="24"/>
      <c r="Z1023" s="32"/>
    </row>
    <row r="1024" spans="21:26">
      <c r="U1024" s="23"/>
      <c r="V1024" s="25"/>
      <c r="W1024" s="24"/>
      <c r="X1024" s="25"/>
      <c r="Y1024" s="24"/>
      <c r="Z1024" s="32"/>
    </row>
    <row r="1025" spans="21:26">
      <c r="U1025" s="23"/>
      <c r="V1025" s="25"/>
      <c r="W1025" s="24"/>
      <c r="X1025" s="25"/>
      <c r="Y1025" s="24"/>
      <c r="Z1025" s="32"/>
    </row>
    <row r="1026" spans="21:26">
      <c r="U1026" s="23"/>
      <c r="V1026" s="25"/>
      <c r="W1026" s="24"/>
      <c r="X1026" s="25"/>
      <c r="Y1026" s="24"/>
      <c r="Z1026" s="32"/>
    </row>
    <row r="1027" spans="21:26">
      <c r="U1027" s="23"/>
      <c r="V1027" s="25"/>
      <c r="W1027" s="24"/>
      <c r="X1027" s="25"/>
      <c r="Y1027" s="24"/>
      <c r="Z1027" s="32"/>
    </row>
    <row r="1028" spans="21:26">
      <c r="U1028" s="23"/>
      <c r="V1028" s="25"/>
      <c r="W1028" s="24"/>
      <c r="X1028" s="25"/>
      <c r="Y1028" s="24"/>
      <c r="Z1028" s="32"/>
    </row>
    <row r="1029" spans="21:26">
      <c r="U1029" s="23"/>
      <c r="V1029" s="25"/>
      <c r="W1029" s="24"/>
      <c r="X1029" s="25"/>
      <c r="Y1029" s="24"/>
      <c r="Z1029" s="32"/>
    </row>
    <row r="1030" spans="21:26">
      <c r="U1030" s="23"/>
      <c r="V1030" s="25"/>
      <c r="W1030" s="24"/>
      <c r="X1030" s="25"/>
      <c r="Y1030" s="24"/>
      <c r="Z1030" s="32"/>
    </row>
    <row r="1031" spans="21:26">
      <c r="U1031" s="23"/>
      <c r="V1031" s="25"/>
      <c r="W1031" s="24"/>
      <c r="X1031" s="25"/>
      <c r="Y1031" s="24"/>
      <c r="Z1031" s="32"/>
    </row>
    <row r="1032" spans="21:26">
      <c r="U1032" s="23"/>
      <c r="V1032" s="25"/>
      <c r="W1032" s="24"/>
      <c r="X1032" s="25"/>
      <c r="Y1032" s="24"/>
      <c r="Z1032" s="32"/>
    </row>
    <row r="1033" spans="21:26">
      <c r="U1033" s="23"/>
      <c r="V1033" s="25"/>
      <c r="W1033" s="24"/>
      <c r="X1033" s="25"/>
      <c r="Y1033" s="24"/>
      <c r="Z1033" s="32"/>
    </row>
    <row r="1034" spans="21:26">
      <c r="U1034" s="23"/>
      <c r="V1034" s="25"/>
      <c r="W1034" s="24"/>
      <c r="X1034" s="25"/>
      <c r="Y1034" s="24"/>
      <c r="Z1034" s="32"/>
    </row>
    <row r="1035" spans="21:26">
      <c r="U1035" s="23"/>
      <c r="V1035" s="25"/>
      <c r="W1035" s="24"/>
      <c r="X1035" s="25"/>
      <c r="Y1035" s="24"/>
      <c r="Z1035" s="32"/>
    </row>
    <row r="1036" spans="21:26">
      <c r="U1036" s="23"/>
      <c r="V1036" s="25"/>
      <c r="W1036" s="24"/>
      <c r="X1036" s="25"/>
      <c r="Y1036" s="24"/>
      <c r="Z1036" s="32"/>
    </row>
    <row r="1037" spans="21:26">
      <c r="U1037" s="23"/>
      <c r="V1037" s="25"/>
      <c r="W1037" s="24"/>
      <c r="X1037" s="25"/>
      <c r="Y1037" s="24"/>
      <c r="Z1037" s="32"/>
    </row>
    <row r="1038" spans="21:26">
      <c r="U1038" s="23"/>
      <c r="V1038" s="25"/>
      <c r="W1038" s="24"/>
      <c r="X1038" s="25"/>
      <c r="Y1038" s="24"/>
      <c r="Z1038" s="32"/>
    </row>
    <row r="1039" spans="21:26">
      <c r="U1039" s="23"/>
      <c r="V1039" s="25"/>
      <c r="W1039" s="24"/>
      <c r="X1039" s="25"/>
      <c r="Y1039" s="24"/>
      <c r="Z1039" s="32"/>
    </row>
    <row r="1040" spans="21:26">
      <c r="U1040" s="23"/>
      <c r="V1040" s="25"/>
      <c r="W1040" s="24"/>
      <c r="X1040" s="25"/>
      <c r="Y1040" s="24"/>
      <c r="Z1040" s="32"/>
    </row>
    <row r="1041" spans="21:26">
      <c r="U1041" s="23"/>
      <c r="V1041" s="25"/>
      <c r="W1041" s="24"/>
      <c r="X1041" s="25"/>
      <c r="Y1041" s="24"/>
      <c r="Z1041" s="32"/>
    </row>
    <row r="1042" spans="21:26">
      <c r="U1042" s="23"/>
      <c r="V1042" s="25"/>
      <c r="W1042" s="24"/>
      <c r="X1042" s="25"/>
      <c r="Y1042" s="24"/>
      <c r="Z1042" s="32"/>
    </row>
    <row r="1043" spans="21:26">
      <c r="U1043" s="23"/>
      <c r="V1043" s="25"/>
      <c r="W1043" s="24"/>
      <c r="X1043" s="25"/>
      <c r="Y1043" s="24"/>
      <c r="Z1043" s="32"/>
    </row>
    <row r="1044" spans="21:26">
      <c r="U1044" s="23"/>
      <c r="V1044" s="25"/>
      <c r="W1044" s="24"/>
      <c r="X1044" s="25"/>
      <c r="Y1044" s="24"/>
      <c r="Z1044" s="32"/>
    </row>
    <row r="1045" spans="21:26">
      <c r="U1045" s="23"/>
      <c r="V1045" s="25"/>
      <c r="W1045" s="24"/>
      <c r="X1045" s="25"/>
      <c r="Y1045" s="24"/>
      <c r="Z1045" s="32"/>
    </row>
    <row r="1046" spans="21:26">
      <c r="U1046" s="23"/>
      <c r="V1046" s="25"/>
      <c r="W1046" s="24"/>
      <c r="X1046" s="25"/>
      <c r="Y1046" s="24"/>
      <c r="Z1046" s="32"/>
    </row>
    <row r="1047" spans="21:26">
      <c r="U1047" s="23"/>
      <c r="V1047" s="25"/>
      <c r="W1047" s="24"/>
      <c r="X1047" s="25"/>
      <c r="Y1047" s="24"/>
      <c r="Z1047" s="32"/>
    </row>
    <row r="1048" spans="21:26">
      <c r="U1048" s="23"/>
      <c r="V1048" s="25"/>
      <c r="W1048" s="24"/>
      <c r="X1048" s="25"/>
      <c r="Y1048" s="24"/>
      <c r="Z1048" s="32"/>
    </row>
    <row r="1049" spans="21:26">
      <c r="U1049" s="23"/>
      <c r="V1049" s="25"/>
      <c r="W1049" s="24"/>
      <c r="X1049" s="25"/>
      <c r="Y1049" s="24"/>
      <c r="Z1049" s="32"/>
    </row>
    <row r="1050" spans="21:26">
      <c r="U1050" s="23"/>
      <c r="V1050" s="25"/>
      <c r="W1050" s="24"/>
      <c r="X1050" s="25"/>
      <c r="Y1050" s="24"/>
      <c r="Z1050" s="32"/>
    </row>
    <row r="1051" spans="21:26">
      <c r="U1051" s="23"/>
      <c r="V1051" s="25"/>
      <c r="W1051" s="24"/>
      <c r="X1051" s="25"/>
      <c r="Y1051" s="24"/>
      <c r="Z1051" s="32"/>
    </row>
    <row r="1052" spans="21:26">
      <c r="U1052" s="23"/>
      <c r="V1052" s="25"/>
      <c r="W1052" s="24"/>
      <c r="X1052" s="25"/>
      <c r="Y1052" s="24"/>
      <c r="Z1052" s="32"/>
    </row>
    <row r="1053" spans="21:26">
      <c r="U1053" s="23"/>
      <c r="V1053" s="25"/>
      <c r="W1053" s="24"/>
      <c r="X1053" s="25"/>
      <c r="Y1053" s="24"/>
      <c r="Z1053" s="32"/>
    </row>
    <row r="1054" spans="21:26">
      <c r="U1054" s="23"/>
      <c r="V1054" s="25"/>
      <c r="W1054" s="24"/>
      <c r="X1054" s="25"/>
      <c r="Y1054" s="24"/>
      <c r="Z1054" s="32"/>
    </row>
    <row r="1055" spans="21:26">
      <c r="U1055" s="23"/>
      <c r="V1055" s="25"/>
      <c r="W1055" s="24"/>
      <c r="X1055" s="25"/>
      <c r="Y1055" s="24"/>
      <c r="Z1055" s="32"/>
    </row>
    <row r="1056" spans="21:26">
      <c r="U1056" s="23"/>
      <c r="V1056" s="25"/>
      <c r="W1056" s="24"/>
      <c r="X1056" s="25"/>
      <c r="Y1056" s="24"/>
      <c r="Z1056" s="32"/>
    </row>
    <row r="1057" spans="21:26">
      <c r="U1057" s="23"/>
      <c r="V1057" s="25"/>
      <c r="W1057" s="24"/>
      <c r="X1057" s="25"/>
      <c r="Y1057" s="24"/>
      <c r="Z1057" s="32"/>
    </row>
    <row r="1058" spans="21:26">
      <c r="U1058" s="23"/>
      <c r="V1058" s="25"/>
      <c r="W1058" s="24"/>
      <c r="X1058" s="25"/>
      <c r="Y1058" s="24"/>
      <c r="Z1058" s="32"/>
    </row>
    <row r="1059" spans="21:26">
      <c r="U1059" s="23"/>
      <c r="V1059" s="25"/>
      <c r="W1059" s="24"/>
      <c r="X1059" s="25"/>
      <c r="Y1059" s="24"/>
      <c r="Z1059" s="32"/>
    </row>
    <row r="1060" spans="21:26">
      <c r="U1060" s="23"/>
      <c r="V1060" s="25"/>
      <c r="W1060" s="24"/>
      <c r="X1060" s="25"/>
      <c r="Y1060" s="24"/>
      <c r="Z1060" s="32"/>
    </row>
    <row r="1061" spans="21:26">
      <c r="U1061" s="23"/>
      <c r="V1061" s="25"/>
      <c r="W1061" s="24"/>
      <c r="X1061" s="25"/>
      <c r="Y1061" s="24"/>
      <c r="Z1061" s="32"/>
    </row>
    <row r="1062" spans="21:26">
      <c r="U1062" s="23"/>
      <c r="V1062" s="25"/>
      <c r="W1062" s="24"/>
      <c r="X1062" s="25"/>
      <c r="Y1062" s="24"/>
      <c r="Z1062" s="32"/>
    </row>
    <row r="1063" spans="21:26">
      <c r="U1063" s="23"/>
      <c r="V1063" s="25"/>
      <c r="W1063" s="24"/>
      <c r="X1063" s="25"/>
      <c r="Y1063" s="24"/>
      <c r="Z1063" s="32"/>
    </row>
    <row r="1064" spans="21:26">
      <c r="U1064" s="23"/>
      <c r="V1064" s="25"/>
      <c r="W1064" s="24"/>
      <c r="X1064" s="25"/>
      <c r="Y1064" s="24"/>
      <c r="Z1064" s="32"/>
    </row>
    <row r="1065" spans="21:26">
      <c r="U1065" s="23"/>
      <c r="V1065" s="25"/>
      <c r="W1065" s="24"/>
      <c r="X1065" s="25"/>
      <c r="Y1065" s="24"/>
      <c r="Z1065" s="32"/>
    </row>
    <row r="1066" spans="21:26">
      <c r="U1066" s="23"/>
      <c r="V1066" s="25"/>
      <c r="W1066" s="24"/>
      <c r="X1066" s="25"/>
      <c r="Y1066" s="24"/>
      <c r="Z1066" s="32"/>
    </row>
    <row r="1067" spans="21:26">
      <c r="U1067" s="23"/>
      <c r="V1067" s="25"/>
      <c r="W1067" s="24"/>
      <c r="X1067" s="25"/>
      <c r="Y1067" s="24"/>
      <c r="Z1067" s="32"/>
    </row>
    <row r="1068" spans="21:26">
      <c r="U1068" s="23"/>
      <c r="V1068" s="25"/>
      <c r="W1068" s="24"/>
      <c r="X1068" s="25"/>
      <c r="Y1068" s="24"/>
      <c r="Z1068" s="32"/>
    </row>
    <row r="1069" spans="21:26">
      <c r="U1069" s="23"/>
      <c r="V1069" s="25"/>
      <c r="W1069" s="24"/>
      <c r="X1069" s="25"/>
      <c r="Y1069" s="24"/>
      <c r="Z1069" s="32"/>
    </row>
    <row r="1070" spans="21:26">
      <c r="U1070" s="23"/>
      <c r="V1070" s="25"/>
      <c r="W1070" s="24"/>
      <c r="X1070" s="25"/>
      <c r="Y1070" s="24"/>
      <c r="Z1070" s="32"/>
    </row>
    <row r="1071" spans="21:26">
      <c r="U1071" s="23"/>
      <c r="V1071" s="25"/>
      <c r="W1071" s="24"/>
      <c r="X1071" s="25"/>
      <c r="Y1071" s="24"/>
      <c r="Z1071" s="32"/>
    </row>
    <row r="1072" spans="21:26">
      <c r="U1072" s="23"/>
      <c r="V1072" s="25"/>
      <c r="W1072" s="24"/>
      <c r="X1072" s="25"/>
      <c r="Y1072" s="24"/>
      <c r="Z1072" s="32"/>
    </row>
    <row r="1073" spans="21:26">
      <c r="U1073" s="23"/>
      <c r="V1073" s="25"/>
      <c r="W1073" s="24"/>
      <c r="X1073" s="25"/>
      <c r="Y1073" s="24"/>
      <c r="Z1073" s="32"/>
    </row>
    <row r="1074" spans="21:26">
      <c r="U1074" s="23"/>
      <c r="V1074" s="25"/>
      <c r="W1074" s="24"/>
      <c r="X1074" s="25"/>
      <c r="Y1074" s="24"/>
      <c r="Z1074" s="32"/>
    </row>
    <row r="1075" spans="21:26">
      <c r="U1075" s="23"/>
      <c r="V1075" s="25"/>
      <c r="W1075" s="24"/>
      <c r="X1075" s="25"/>
      <c r="Y1075" s="24"/>
      <c r="Z1075" s="32"/>
    </row>
    <row r="1076" spans="21:26">
      <c r="U1076" s="23"/>
      <c r="V1076" s="25"/>
      <c r="W1076" s="24"/>
      <c r="X1076" s="25"/>
      <c r="Y1076" s="24"/>
      <c r="Z1076" s="32"/>
    </row>
    <row r="1077" spans="21:26">
      <c r="U1077" s="23"/>
      <c r="V1077" s="25"/>
      <c r="W1077" s="24"/>
      <c r="X1077" s="25"/>
      <c r="Y1077" s="24"/>
      <c r="Z1077" s="32"/>
    </row>
    <row r="1078" spans="21:26">
      <c r="U1078" s="23"/>
      <c r="V1078" s="25"/>
      <c r="W1078" s="24"/>
      <c r="X1078" s="25"/>
      <c r="Y1078" s="24"/>
      <c r="Z1078" s="32"/>
    </row>
    <row r="1079" spans="21:26">
      <c r="U1079" s="23"/>
      <c r="V1079" s="25"/>
      <c r="W1079" s="24"/>
      <c r="X1079" s="25"/>
      <c r="Y1079" s="24"/>
      <c r="Z1079" s="32"/>
    </row>
    <row r="1080" spans="21:26">
      <c r="U1080" s="23"/>
      <c r="V1080" s="25"/>
      <c r="W1080" s="24"/>
      <c r="X1080" s="25"/>
      <c r="Y1080" s="24"/>
      <c r="Z1080" s="32"/>
    </row>
    <row r="1081" spans="21:26">
      <c r="U1081" s="23"/>
      <c r="V1081" s="25"/>
      <c r="W1081" s="24"/>
      <c r="X1081" s="25"/>
      <c r="Y1081" s="24"/>
      <c r="Z1081" s="32"/>
    </row>
    <row r="1082" spans="21:26">
      <c r="U1082" s="23"/>
      <c r="V1082" s="25"/>
      <c r="W1082" s="24"/>
      <c r="X1082" s="25"/>
      <c r="Y1082" s="24"/>
      <c r="Z1082" s="32"/>
    </row>
    <row r="1083" spans="21:26">
      <c r="U1083" s="23"/>
      <c r="V1083" s="25"/>
      <c r="W1083" s="24"/>
      <c r="X1083" s="25"/>
      <c r="Y1083" s="24"/>
      <c r="Z1083" s="32"/>
    </row>
    <row r="1084" spans="21:26">
      <c r="U1084" s="23"/>
      <c r="V1084" s="25"/>
      <c r="W1084" s="24"/>
      <c r="X1084" s="25"/>
      <c r="Y1084" s="24"/>
      <c r="Z1084" s="32"/>
    </row>
    <row r="1085" spans="21:26">
      <c r="U1085" s="23"/>
      <c r="V1085" s="25"/>
      <c r="W1085" s="24"/>
      <c r="X1085" s="25"/>
      <c r="Y1085" s="24"/>
      <c r="Z1085" s="32"/>
    </row>
    <row r="1086" spans="21:26">
      <c r="U1086" s="23"/>
      <c r="V1086" s="25"/>
      <c r="W1086" s="24"/>
      <c r="X1086" s="25"/>
      <c r="Y1086" s="24"/>
      <c r="Z1086" s="32"/>
    </row>
    <row r="1087" spans="21:26">
      <c r="U1087" s="23"/>
      <c r="V1087" s="25"/>
      <c r="W1087" s="24"/>
      <c r="X1087" s="25"/>
      <c r="Y1087" s="24"/>
      <c r="Z1087" s="32"/>
    </row>
    <row r="1088" spans="21:26">
      <c r="U1088" s="23"/>
      <c r="V1088" s="25"/>
      <c r="W1088" s="24"/>
      <c r="X1088" s="25"/>
      <c r="Y1088" s="24"/>
      <c r="Z1088" s="32"/>
    </row>
    <row r="1089" spans="21:26">
      <c r="U1089" s="23"/>
      <c r="V1089" s="25"/>
      <c r="W1089" s="24"/>
      <c r="X1089" s="25"/>
      <c r="Y1089" s="24"/>
      <c r="Z1089" s="32"/>
    </row>
    <row r="1090" spans="21:26">
      <c r="U1090" s="23"/>
      <c r="V1090" s="25"/>
      <c r="W1090" s="24"/>
      <c r="X1090" s="25"/>
      <c r="Y1090" s="24"/>
      <c r="Z1090" s="32"/>
    </row>
    <row r="1091" spans="21:26">
      <c r="U1091" s="23"/>
      <c r="V1091" s="25"/>
      <c r="W1091" s="24"/>
      <c r="X1091" s="25"/>
      <c r="Y1091" s="24"/>
      <c r="Z1091" s="32"/>
    </row>
    <row r="1092" spans="21:26">
      <c r="U1092" s="23"/>
      <c r="V1092" s="25"/>
      <c r="W1092" s="24"/>
      <c r="X1092" s="25"/>
      <c r="Y1092" s="24"/>
      <c r="Z1092" s="32"/>
    </row>
    <row r="1093" spans="21:26">
      <c r="U1093" s="23"/>
      <c r="V1093" s="25"/>
      <c r="W1093" s="24"/>
      <c r="X1093" s="25"/>
      <c r="Y1093" s="24"/>
      <c r="Z1093" s="32"/>
    </row>
    <row r="1094" spans="21:26">
      <c r="U1094" s="23"/>
      <c r="V1094" s="25"/>
      <c r="W1094" s="24"/>
      <c r="X1094" s="25"/>
      <c r="Y1094" s="24"/>
      <c r="Z1094" s="32"/>
    </row>
    <row r="1095" spans="21:26">
      <c r="U1095" s="23"/>
      <c r="V1095" s="25"/>
      <c r="W1095" s="24"/>
      <c r="X1095" s="25"/>
      <c r="Y1095" s="24"/>
      <c r="Z1095" s="32"/>
    </row>
    <row r="1096" spans="21:26">
      <c r="U1096" s="23"/>
      <c r="V1096" s="25"/>
      <c r="W1096" s="24"/>
      <c r="X1096" s="25"/>
      <c r="Y1096" s="24"/>
      <c r="Z1096" s="32"/>
    </row>
    <row r="1097" spans="21:26">
      <c r="U1097" s="23"/>
      <c r="V1097" s="25"/>
      <c r="W1097" s="24"/>
      <c r="X1097" s="25"/>
      <c r="Y1097" s="24"/>
      <c r="Z1097" s="32"/>
    </row>
    <row r="1098" spans="21:26">
      <c r="U1098" s="23"/>
      <c r="V1098" s="25"/>
      <c r="W1098" s="24"/>
      <c r="X1098" s="25"/>
      <c r="Y1098" s="24"/>
      <c r="Z1098" s="32"/>
    </row>
    <row r="1099" spans="21:26">
      <c r="U1099" s="23"/>
      <c r="V1099" s="25"/>
      <c r="W1099" s="24"/>
      <c r="X1099" s="25"/>
      <c r="Y1099" s="24"/>
      <c r="Z1099" s="32"/>
    </row>
    <row r="1100" spans="21:26">
      <c r="U1100" s="23"/>
      <c r="V1100" s="25"/>
      <c r="W1100" s="24"/>
      <c r="X1100" s="25"/>
      <c r="Y1100" s="24"/>
      <c r="Z1100" s="32"/>
    </row>
    <row r="1101" spans="21:26">
      <c r="U1101" s="23"/>
      <c r="V1101" s="25"/>
      <c r="W1101" s="24"/>
      <c r="X1101" s="25"/>
      <c r="Y1101" s="24"/>
      <c r="Z1101" s="32"/>
    </row>
    <row r="1102" spans="21:26">
      <c r="U1102" s="23"/>
      <c r="V1102" s="25"/>
      <c r="W1102" s="24"/>
      <c r="X1102" s="25"/>
      <c r="Y1102" s="24"/>
      <c r="Z1102" s="32"/>
    </row>
    <row r="1103" spans="21:26">
      <c r="U1103" s="23"/>
      <c r="V1103" s="25"/>
      <c r="W1103" s="24"/>
      <c r="X1103" s="25"/>
      <c r="Y1103" s="24"/>
      <c r="Z1103" s="32"/>
    </row>
    <row r="1104" spans="21:26">
      <c r="U1104" s="23"/>
      <c r="V1104" s="25"/>
      <c r="W1104" s="24"/>
      <c r="X1104" s="25"/>
      <c r="Y1104" s="24"/>
      <c r="Z1104" s="32"/>
    </row>
    <row r="1105" spans="21:26">
      <c r="U1105" s="23"/>
      <c r="V1105" s="25"/>
      <c r="W1105" s="24"/>
      <c r="X1105" s="25"/>
      <c r="Y1105" s="24"/>
      <c r="Z1105" s="32"/>
    </row>
    <row r="1106" spans="21:26">
      <c r="U1106" s="23"/>
      <c r="V1106" s="25"/>
      <c r="W1106" s="24"/>
      <c r="X1106" s="25"/>
      <c r="Y1106" s="24"/>
      <c r="Z1106" s="32"/>
    </row>
    <row r="1107" spans="21:26">
      <c r="U1107" s="23"/>
      <c r="V1107" s="25"/>
      <c r="W1107" s="24"/>
      <c r="X1107" s="25"/>
      <c r="Y1107" s="24"/>
      <c r="Z1107" s="32"/>
    </row>
    <row r="1108" spans="21:26">
      <c r="U1108" s="23"/>
      <c r="V1108" s="25"/>
      <c r="W1108" s="24"/>
      <c r="X1108" s="25"/>
      <c r="Y1108" s="24"/>
      <c r="Z1108" s="32"/>
    </row>
    <row r="1109" spans="21:26">
      <c r="U1109" s="23"/>
      <c r="V1109" s="25"/>
      <c r="W1109" s="24"/>
      <c r="X1109" s="25"/>
      <c r="Y1109" s="24"/>
      <c r="Z1109" s="32"/>
    </row>
    <row r="1110" spans="21:26">
      <c r="U1110" s="23"/>
      <c r="V1110" s="25"/>
      <c r="W1110" s="24"/>
      <c r="X1110" s="25"/>
      <c r="Y1110" s="24"/>
      <c r="Z1110" s="32"/>
    </row>
    <row r="1111" spans="21:26">
      <c r="U1111" s="23"/>
      <c r="V1111" s="25"/>
      <c r="W1111" s="24"/>
      <c r="X1111" s="25"/>
      <c r="Y1111" s="24"/>
      <c r="Z1111" s="32"/>
    </row>
    <row r="1112" spans="21:26">
      <c r="U1112" s="23"/>
      <c r="V1112" s="25"/>
      <c r="W1112" s="24"/>
      <c r="X1112" s="25"/>
      <c r="Y1112" s="24"/>
      <c r="Z1112" s="32"/>
    </row>
    <row r="1113" spans="21:26">
      <c r="U1113" s="23"/>
      <c r="V1113" s="25"/>
      <c r="W1113" s="24"/>
      <c r="X1113" s="25"/>
      <c r="Y1113" s="24"/>
      <c r="Z1113" s="32"/>
    </row>
    <row r="1114" spans="21:26">
      <c r="U1114" s="23"/>
      <c r="V1114" s="25"/>
      <c r="W1114" s="24"/>
      <c r="X1114" s="25"/>
      <c r="Y1114" s="24"/>
      <c r="Z1114" s="32"/>
    </row>
    <row r="1115" spans="21:26">
      <c r="U1115" s="23"/>
      <c r="V1115" s="25"/>
      <c r="W1115" s="24"/>
      <c r="X1115" s="25"/>
      <c r="Y1115" s="24"/>
      <c r="Z1115" s="32"/>
    </row>
    <row r="1116" spans="21:26">
      <c r="U1116" s="23"/>
      <c r="V1116" s="25"/>
      <c r="W1116" s="24"/>
      <c r="X1116" s="25"/>
      <c r="Y1116" s="24"/>
      <c r="Z1116" s="32"/>
    </row>
    <row r="1117" spans="21:26">
      <c r="U1117" s="23"/>
      <c r="V1117" s="25"/>
      <c r="W1117" s="24"/>
      <c r="X1117" s="25"/>
      <c r="Y1117" s="24"/>
      <c r="Z1117" s="32"/>
    </row>
    <row r="1118" spans="21:26">
      <c r="U1118" s="23"/>
      <c r="V1118" s="25"/>
      <c r="W1118" s="24"/>
      <c r="X1118" s="25"/>
      <c r="Y1118" s="24"/>
      <c r="Z1118" s="32"/>
    </row>
    <row r="1119" spans="21:26">
      <c r="U1119" s="23"/>
      <c r="V1119" s="25"/>
      <c r="W1119" s="24"/>
      <c r="X1119" s="25"/>
      <c r="Y1119" s="24"/>
      <c r="Z1119" s="32"/>
    </row>
    <row r="1120" spans="21:26">
      <c r="U1120" s="23"/>
      <c r="V1120" s="25"/>
      <c r="W1120" s="24"/>
      <c r="X1120" s="25"/>
      <c r="Y1120" s="24"/>
      <c r="Z1120" s="32"/>
    </row>
    <row r="1121" spans="21:26">
      <c r="U1121" s="23"/>
      <c r="V1121" s="25"/>
      <c r="W1121" s="24"/>
      <c r="X1121" s="25"/>
      <c r="Y1121" s="24"/>
      <c r="Z1121" s="32"/>
    </row>
    <row r="1122" spans="21:26">
      <c r="U1122" s="23"/>
      <c r="V1122" s="25"/>
      <c r="W1122" s="24"/>
      <c r="X1122" s="25"/>
      <c r="Y1122" s="24"/>
      <c r="Z1122" s="32"/>
    </row>
    <row r="1123" spans="21:26">
      <c r="U1123" s="23"/>
      <c r="V1123" s="25"/>
      <c r="W1123" s="24"/>
      <c r="X1123" s="25"/>
      <c r="Y1123" s="24"/>
      <c r="Z1123" s="32"/>
    </row>
    <row r="1124" spans="21:26">
      <c r="U1124" s="23"/>
      <c r="V1124" s="25"/>
      <c r="W1124" s="24"/>
      <c r="X1124" s="25"/>
      <c r="Y1124" s="24"/>
      <c r="Z1124" s="32"/>
    </row>
    <row r="1125" spans="21:26">
      <c r="U1125" s="23"/>
      <c r="V1125" s="25"/>
      <c r="W1125" s="24"/>
      <c r="X1125" s="25"/>
      <c r="Y1125" s="24"/>
      <c r="Z1125" s="32"/>
    </row>
    <row r="1126" spans="21:26">
      <c r="U1126" s="23"/>
      <c r="V1126" s="25"/>
      <c r="W1126" s="24"/>
      <c r="X1126" s="25"/>
      <c r="Y1126" s="24"/>
      <c r="Z1126" s="32"/>
    </row>
    <row r="1127" spans="21:26">
      <c r="U1127" s="23"/>
      <c r="V1127" s="25"/>
      <c r="W1127" s="24"/>
      <c r="X1127" s="25"/>
      <c r="Y1127" s="24"/>
      <c r="Z1127" s="32"/>
    </row>
    <row r="1128" spans="21:26">
      <c r="U1128" s="23"/>
      <c r="V1128" s="25"/>
      <c r="W1128" s="24"/>
      <c r="X1128" s="25"/>
      <c r="Y1128" s="24"/>
      <c r="Z1128" s="32"/>
    </row>
    <row r="1129" spans="21:26">
      <c r="U1129" s="23"/>
      <c r="V1129" s="25"/>
      <c r="W1129" s="24"/>
      <c r="X1129" s="25"/>
      <c r="Y1129" s="24"/>
      <c r="Z1129" s="32"/>
    </row>
    <row r="1130" spans="21:26">
      <c r="U1130" s="23"/>
      <c r="V1130" s="25"/>
      <c r="W1130" s="24"/>
      <c r="X1130" s="25"/>
      <c r="Y1130" s="24"/>
      <c r="Z1130" s="32"/>
    </row>
    <row r="1131" spans="21:26">
      <c r="U1131" s="23"/>
      <c r="V1131" s="25"/>
      <c r="W1131" s="24"/>
      <c r="X1131" s="25"/>
      <c r="Y1131" s="24"/>
      <c r="Z1131" s="32"/>
    </row>
    <row r="1132" spans="21:26">
      <c r="U1132" s="23"/>
      <c r="V1132" s="25"/>
      <c r="W1132" s="24"/>
      <c r="X1132" s="25"/>
      <c r="Y1132" s="24"/>
      <c r="Z1132" s="32"/>
    </row>
    <row r="1133" spans="21:26">
      <c r="U1133" s="23"/>
      <c r="V1133" s="25"/>
      <c r="W1133" s="24"/>
      <c r="X1133" s="25"/>
      <c r="Y1133" s="24"/>
      <c r="Z1133" s="32"/>
    </row>
    <row r="1134" spans="21:26">
      <c r="U1134" s="23"/>
      <c r="V1134" s="25"/>
      <c r="W1134" s="24"/>
      <c r="X1134" s="25"/>
      <c r="Y1134" s="24"/>
      <c r="Z1134" s="32"/>
    </row>
    <row r="1135" spans="21:26">
      <c r="U1135" s="23"/>
      <c r="V1135" s="25"/>
      <c r="W1135" s="24"/>
      <c r="X1135" s="25"/>
      <c r="Y1135" s="24"/>
      <c r="Z1135" s="32"/>
    </row>
    <row r="1136" spans="21:26">
      <c r="U1136" s="23"/>
      <c r="V1136" s="25"/>
      <c r="W1136" s="24"/>
      <c r="X1136" s="25"/>
      <c r="Y1136" s="24"/>
      <c r="Z1136" s="32"/>
    </row>
    <row r="1137" spans="21:26">
      <c r="U1137" s="23"/>
      <c r="V1137" s="25"/>
      <c r="W1137" s="24"/>
      <c r="X1137" s="25"/>
      <c r="Y1137" s="24"/>
      <c r="Z1137" s="32"/>
    </row>
    <row r="1138" spans="21:26">
      <c r="U1138" s="23"/>
      <c r="V1138" s="25"/>
      <c r="W1138" s="24"/>
      <c r="X1138" s="25"/>
      <c r="Y1138" s="24"/>
      <c r="Z1138" s="32"/>
    </row>
    <row r="1139" spans="21:26">
      <c r="U1139" s="23"/>
      <c r="V1139" s="25"/>
      <c r="W1139" s="24"/>
      <c r="X1139" s="25"/>
      <c r="Y1139" s="24"/>
      <c r="Z1139" s="32"/>
    </row>
    <row r="1140" spans="21:26">
      <c r="U1140" s="23"/>
      <c r="V1140" s="25"/>
      <c r="W1140" s="24"/>
      <c r="X1140" s="25"/>
      <c r="Y1140" s="24"/>
      <c r="Z1140" s="32"/>
    </row>
    <row r="1141" spans="21:26">
      <c r="U1141" s="23"/>
      <c r="V1141" s="25"/>
      <c r="W1141" s="24"/>
      <c r="X1141" s="25"/>
      <c r="Y1141" s="24"/>
      <c r="Z1141" s="32"/>
    </row>
    <row r="1142" spans="21:26">
      <c r="U1142" s="23"/>
      <c r="V1142" s="25"/>
      <c r="W1142" s="24"/>
      <c r="X1142" s="25"/>
      <c r="Y1142" s="24"/>
      <c r="Z1142" s="32"/>
    </row>
    <row r="1143" spans="21:26">
      <c r="U1143" s="23"/>
      <c r="V1143" s="25"/>
      <c r="W1143" s="24"/>
      <c r="X1143" s="25"/>
      <c r="Y1143" s="24"/>
      <c r="Z1143" s="32"/>
    </row>
    <row r="1144" spans="21:26">
      <c r="U1144" s="23"/>
      <c r="V1144" s="25"/>
      <c r="W1144" s="24"/>
      <c r="X1144" s="25"/>
      <c r="Y1144" s="24"/>
      <c r="Z1144" s="32"/>
    </row>
    <row r="1145" spans="21:26">
      <c r="U1145" s="23"/>
      <c r="V1145" s="25"/>
      <c r="W1145" s="24"/>
      <c r="X1145" s="25"/>
      <c r="Y1145" s="24"/>
      <c r="Z1145" s="32"/>
    </row>
    <row r="1146" spans="21:26">
      <c r="U1146" s="23"/>
      <c r="V1146" s="25"/>
      <c r="W1146" s="24"/>
      <c r="X1146" s="25"/>
      <c r="Y1146" s="24"/>
      <c r="Z1146" s="32"/>
    </row>
    <row r="1147" spans="21:26">
      <c r="U1147" s="23"/>
      <c r="V1147" s="25"/>
      <c r="W1147" s="24"/>
      <c r="X1147" s="25"/>
      <c r="Y1147" s="24"/>
      <c r="Z1147" s="32"/>
    </row>
    <row r="1148" spans="21:26">
      <c r="U1148" s="23"/>
      <c r="V1148" s="25"/>
      <c r="W1148" s="24"/>
      <c r="X1148" s="25"/>
      <c r="Y1148" s="24"/>
      <c r="Z1148" s="32"/>
    </row>
    <row r="1149" spans="21:26">
      <c r="U1149" s="23"/>
      <c r="V1149" s="25"/>
      <c r="W1149" s="24"/>
      <c r="X1149" s="25"/>
      <c r="Y1149" s="24"/>
      <c r="Z1149" s="32"/>
    </row>
    <row r="1150" spans="21:26">
      <c r="U1150" s="23"/>
      <c r="V1150" s="25"/>
      <c r="W1150" s="24"/>
      <c r="X1150" s="25"/>
      <c r="Y1150" s="24"/>
      <c r="Z1150" s="32"/>
    </row>
    <row r="1151" spans="21:26">
      <c r="U1151" s="23"/>
      <c r="V1151" s="25"/>
      <c r="W1151" s="24"/>
      <c r="X1151" s="25"/>
      <c r="Y1151" s="24"/>
      <c r="Z1151" s="32"/>
    </row>
    <row r="1152" spans="21:26">
      <c r="U1152" s="23"/>
      <c r="V1152" s="25"/>
      <c r="W1152" s="24"/>
      <c r="X1152" s="25"/>
      <c r="Y1152" s="24"/>
      <c r="Z1152" s="32"/>
    </row>
    <row r="1153" spans="21:26">
      <c r="U1153" s="23"/>
      <c r="V1153" s="25"/>
      <c r="W1153" s="24"/>
      <c r="X1153" s="25"/>
      <c r="Y1153" s="24"/>
      <c r="Z1153" s="32"/>
    </row>
    <row r="1154" spans="21:26">
      <c r="U1154" s="23"/>
      <c r="V1154" s="25"/>
      <c r="W1154" s="24"/>
      <c r="X1154" s="25"/>
      <c r="Y1154" s="24"/>
      <c r="Z1154" s="32"/>
    </row>
    <row r="1155" spans="21:26">
      <c r="U1155" s="23"/>
      <c r="V1155" s="25"/>
      <c r="W1155" s="24"/>
      <c r="X1155" s="25"/>
      <c r="Y1155" s="24"/>
      <c r="Z1155" s="32"/>
    </row>
    <row r="1156" spans="21:26">
      <c r="U1156" s="23"/>
      <c r="V1156" s="25"/>
      <c r="W1156" s="24"/>
      <c r="X1156" s="25"/>
      <c r="Y1156" s="24"/>
      <c r="Z1156" s="32"/>
    </row>
    <row r="1157" spans="21:26">
      <c r="U1157" s="23"/>
      <c r="V1157" s="25"/>
      <c r="W1157" s="24"/>
      <c r="X1157" s="25"/>
      <c r="Y1157" s="24"/>
      <c r="Z1157" s="32"/>
    </row>
    <row r="1158" spans="21:26">
      <c r="U1158" s="23"/>
      <c r="V1158" s="25"/>
      <c r="W1158" s="24"/>
      <c r="X1158" s="25"/>
      <c r="Y1158" s="24"/>
      <c r="Z1158" s="32"/>
    </row>
    <row r="1159" spans="21:26">
      <c r="U1159" s="23"/>
      <c r="V1159" s="25"/>
      <c r="W1159" s="24"/>
      <c r="X1159" s="25"/>
      <c r="Y1159" s="24"/>
      <c r="Z1159" s="32"/>
    </row>
    <row r="1160" spans="21:26">
      <c r="U1160" s="23"/>
      <c r="V1160" s="25"/>
      <c r="W1160" s="24"/>
      <c r="X1160" s="25"/>
      <c r="Y1160" s="24"/>
      <c r="Z1160" s="32"/>
    </row>
    <row r="1161" spans="21:26">
      <c r="U1161" s="23"/>
      <c r="V1161" s="25"/>
      <c r="W1161" s="24"/>
      <c r="X1161" s="25"/>
      <c r="Y1161" s="24"/>
      <c r="Z1161" s="32"/>
    </row>
    <row r="1162" spans="21:26">
      <c r="U1162" s="23"/>
      <c r="V1162" s="25"/>
      <c r="W1162" s="24"/>
      <c r="X1162" s="25"/>
      <c r="Y1162" s="24"/>
      <c r="Z1162" s="32"/>
    </row>
    <row r="1163" spans="21:26">
      <c r="U1163" s="23"/>
      <c r="V1163" s="25"/>
      <c r="W1163" s="24"/>
      <c r="X1163" s="25"/>
      <c r="Y1163" s="24"/>
      <c r="Z1163" s="32"/>
    </row>
    <row r="1164" spans="21:26">
      <c r="U1164" s="23"/>
      <c r="V1164" s="25"/>
      <c r="W1164" s="24"/>
      <c r="X1164" s="25"/>
      <c r="Y1164" s="24"/>
      <c r="Z1164" s="32"/>
    </row>
    <row r="1165" spans="21:26">
      <c r="U1165" s="23"/>
      <c r="V1165" s="25"/>
      <c r="W1165" s="24"/>
      <c r="X1165" s="25"/>
      <c r="Y1165" s="24"/>
      <c r="Z1165" s="32"/>
    </row>
    <row r="1166" spans="21:26">
      <c r="U1166" s="23"/>
      <c r="V1166" s="25"/>
      <c r="W1166" s="24"/>
      <c r="X1166" s="25"/>
      <c r="Y1166" s="24"/>
      <c r="Z1166" s="32"/>
    </row>
    <row r="1167" spans="21:26">
      <c r="U1167" s="23"/>
      <c r="V1167" s="25"/>
      <c r="W1167" s="24"/>
      <c r="X1167" s="25"/>
      <c r="Y1167" s="24"/>
      <c r="Z1167" s="32"/>
    </row>
    <row r="1168" spans="21:26">
      <c r="U1168" s="23"/>
      <c r="V1168" s="25"/>
      <c r="W1168" s="24"/>
      <c r="X1168" s="25"/>
      <c r="Y1168" s="24"/>
      <c r="Z1168" s="32"/>
    </row>
    <row r="1169" spans="21:26">
      <c r="U1169" s="23"/>
      <c r="V1169" s="25"/>
      <c r="W1169" s="24"/>
      <c r="X1169" s="25"/>
      <c r="Y1169" s="24"/>
      <c r="Z1169" s="32"/>
    </row>
    <row r="1170" spans="21:26">
      <c r="U1170" s="23"/>
      <c r="V1170" s="25"/>
      <c r="W1170" s="24"/>
      <c r="X1170" s="25"/>
      <c r="Y1170" s="24"/>
      <c r="Z1170" s="32"/>
    </row>
    <row r="1171" spans="21:26">
      <c r="U1171" s="23"/>
      <c r="V1171" s="25"/>
      <c r="W1171" s="24"/>
      <c r="X1171" s="25"/>
      <c r="Y1171" s="24"/>
      <c r="Z1171" s="32"/>
    </row>
    <row r="1172" spans="21:26">
      <c r="U1172" s="23"/>
      <c r="V1172" s="25"/>
      <c r="W1172" s="24"/>
      <c r="X1172" s="25"/>
      <c r="Y1172" s="24"/>
      <c r="Z1172" s="32"/>
    </row>
    <row r="1173" spans="21:26">
      <c r="U1173" s="23"/>
      <c r="V1173" s="25"/>
      <c r="W1173" s="24"/>
      <c r="X1173" s="25"/>
      <c r="Y1173" s="24"/>
      <c r="Z1173" s="32"/>
    </row>
    <row r="1174" spans="21:26">
      <c r="U1174" s="23"/>
      <c r="V1174" s="25"/>
      <c r="W1174" s="24"/>
      <c r="X1174" s="25"/>
      <c r="Y1174" s="24"/>
      <c r="Z1174" s="32"/>
    </row>
    <row r="1175" spans="21:26">
      <c r="U1175" s="23"/>
      <c r="V1175" s="25"/>
      <c r="W1175" s="24"/>
      <c r="X1175" s="25"/>
      <c r="Y1175" s="24"/>
      <c r="Z1175" s="32"/>
    </row>
    <row r="1176" spans="21:26">
      <c r="U1176" s="23"/>
      <c r="V1176" s="25"/>
      <c r="W1176" s="24"/>
      <c r="X1176" s="25"/>
      <c r="Y1176" s="24"/>
      <c r="Z1176" s="32"/>
    </row>
    <row r="1177" spans="21:26">
      <c r="U1177" s="23"/>
      <c r="V1177" s="25"/>
      <c r="W1177" s="24"/>
      <c r="X1177" s="25"/>
      <c r="Y1177" s="24"/>
      <c r="Z1177" s="32"/>
    </row>
    <row r="1178" spans="21:26">
      <c r="U1178" s="23"/>
      <c r="V1178" s="25"/>
      <c r="W1178" s="24"/>
      <c r="X1178" s="25"/>
      <c r="Y1178" s="24"/>
      <c r="Z1178" s="32"/>
    </row>
    <row r="1179" spans="21:26">
      <c r="U1179" s="23"/>
      <c r="V1179" s="25"/>
      <c r="W1179" s="24"/>
      <c r="X1179" s="25"/>
      <c r="Y1179" s="24"/>
      <c r="Z1179" s="32"/>
    </row>
    <row r="1180" spans="21:26">
      <c r="U1180" s="23"/>
      <c r="V1180" s="25"/>
      <c r="W1180" s="24"/>
      <c r="X1180" s="25"/>
      <c r="Y1180" s="24"/>
      <c r="Z1180" s="32"/>
    </row>
    <row r="1181" spans="21:26">
      <c r="U1181" s="23"/>
      <c r="V1181" s="25"/>
      <c r="W1181" s="24"/>
      <c r="X1181" s="25"/>
      <c r="Y1181" s="24"/>
      <c r="Z1181" s="32"/>
    </row>
    <row r="1182" spans="21:26">
      <c r="U1182" s="23"/>
      <c r="V1182" s="25"/>
      <c r="W1182" s="24"/>
      <c r="X1182" s="25"/>
      <c r="Y1182" s="24"/>
      <c r="Z1182" s="32"/>
    </row>
    <row r="1183" spans="21:26">
      <c r="U1183" s="23"/>
      <c r="V1183" s="25"/>
      <c r="W1183" s="24"/>
      <c r="X1183" s="25"/>
      <c r="Y1183" s="24"/>
      <c r="Z1183" s="32"/>
    </row>
    <row r="1184" spans="21:26">
      <c r="U1184" s="23"/>
      <c r="V1184" s="25"/>
      <c r="W1184" s="24"/>
      <c r="X1184" s="25"/>
      <c r="Y1184" s="24"/>
      <c r="Z1184" s="32"/>
    </row>
    <row r="1185" spans="21:26">
      <c r="U1185" s="23"/>
      <c r="V1185" s="25"/>
      <c r="W1185" s="24"/>
      <c r="X1185" s="25"/>
      <c r="Y1185" s="24"/>
      <c r="Z1185" s="32"/>
    </row>
    <row r="1186" spans="21:26">
      <c r="U1186" s="23"/>
      <c r="V1186" s="25"/>
      <c r="W1186" s="24"/>
      <c r="X1186" s="25"/>
      <c r="Y1186" s="24"/>
      <c r="Z1186" s="32"/>
    </row>
    <row r="1187" spans="21:26">
      <c r="U1187" s="23"/>
      <c r="V1187" s="25"/>
      <c r="W1187" s="24"/>
      <c r="X1187" s="25"/>
      <c r="Y1187" s="24"/>
      <c r="Z1187" s="32"/>
    </row>
    <row r="1188" spans="21:26">
      <c r="U1188" s="23"/>
      <c r="V1188" s="25"/>
      <c r="W1188" s="24"/>
      <c r="X1188" s="25"/>
      <c r="Y1188" s="24"/>
      <c r="Z1188" s="32"/>
    </row>
    <row r="1189" spans="21:26">
      <c r="U1189" s="23"/>
      <c r="V1189" s="25"/>
      <c r="W1189" s="24"/>
      <c r="X1189" s="25"/>
      <c r="Y1189" s="24"/>
      <c r="Z1189" s="32"/>
    </row>
    <row r="1190" spans="21:26">
      <c r="U1190" s="23"/>
      <c r="V1190" s="25"/>
      <c r="W1190" s="24"/>
      <c r="X1190" s="25"/>
      <c r="Y1190" s="24"/>
      <c r="Z1190" s="32"/>
    </row>
    <row r="1191" spans="21:26">
      <c r="U1191" s="23"/>
      <c r="V1191" s="25"/>
      <c r="W1191" s="24"/>
      <c r="X1191" s="25"/>
      <c r="Y1191" s="24"/>
      <c r="Z1191" s="32"/>
    </row>
    <row r="1192" spans="21:26">
      <c r="U1192" s="23"/>
      <c r="V1192" s="25"/>
      <c r="W1192" s="24"/>
      <c r="X1192" s="25"/>
      <c r="Y1192" s="24"/>
      <c r="Z1192" s="32"/>
    </row>
    <row r="1193" spans="21:26">
      <c r="U1193" s="23"/>
      <c r="V1193" s="25"/>
      <c r="W1193" s="24"/>
      <c r="X1193" s="25"/>
      <c r="Y1193" s="24"/>
      <c r="Z1193" s="32"/>
    </row>
    <row r="1194" spans="21:26">
      <c r="U1194" s="23"/>
      <c r="V1194" s="25"/>
      <c r="W1194" s="24"/>
      <c r="X1194" s="25"/>
      <c r="Y1194" s="24"/>
      <c r="Z1194" s="32"/>
    </row>
    <row r="1195" spans="21:26">
      <c r="U1195" s="23"/>
      <c r="V1195" s="25"/>
      <c r="W1195" s="24"/>
      <c r="X1195" s="25"/>
      <c r="Y1195" s="24"/>
      <c r="Z1195" s="32"/>
    </row>
    <row r="1196" spans="21:26">
      <c r="U1196" s="23"/>
      <c r="V1196" s="25"/>
      <c r="W1196" s="24"/>
      <c r="X1196" s="25"/>
      <c r="Y1196" s="24"/>
      <c r="Z1196" s="32"/>
    </row>
    <row r="1197" spans="21:26">
      <c r="U1197" s="23"/>
      <c r="V1197" s="25"/>
      <c r="W1197" s="24"/>
      <c r="X1197" s="25"/>
      <c r="Y1197" s="24"/>
      <c r="Z1197" s="32"/>
    </row>
    <row r="1198" spans="21:26">
      <c r="U1198" s="23"/>
      <c r="V1198" s="25"/>
      <c r="W1198" s="24"/>
      <c r="X1198" s="25"/>
      <c r="Y1198" s="24"/>
      <c r="Z1198" s="32"/>
    </row>
    <row r="1199" spans="21:26">
      <c r="U1199" s="23"/>
      <c r="V1199" s="25"/>
      <c r="W1199" s="24"/>
      <c r="X1199" s="25"/>
      <c r="Y1199" s="24"/>
      <c r="Z1199" s="32"/>
    </row>
    <row r="1200" spans="21:26">
      <c r="U1200" s="23"/>
      <c r="V1200" s="25"/>
      <c r="W1200" s="24"/>
      <c r="X1200" s="25"/>
      <c r="Y1200" s="24"/>
      <c r="Z1200" s="32"/>
    </row>
    <row r="1201" spans="21:26">
      <c r="U1201" s="23"/>
      <c r="V1201" s="25"/>
      <c r="W1201" s="24"/>
      <c r="X1201" s="25"/>
      <c r="Y1201" s="24"/>
      <c r="Z1201" s="32"/>
    </row>
    <row r="1202" spans="21:26">
      <c r="U1202" s="23"/>
      <c r="V1202" s="25"/>
      <c r="W1202" s="24"/>
      <c r="X1202" s="25"/>
      <c r="Y1202" s="24"/>
      <c r="Z1202" s="32"/>
    </row>
    <row r="1203" spans="21:26">
      <c r="U1203" s="23"/>
      <c r="V1203" s="25"/>
      <c r="W1203" s="24"/>
      <c r="X1203" s="25"/>
      <c r="Y1203" s="24"/>
      <c r="Z1203" s="32"/>
    </row>
    <row r="1204" spans="21:26">
      <c r="U1204" s="23"/>
      <c r="V1204" s="25"/>
      <c r="W1204" s="24"/>
      <c r="X1204" s="25"/>
      <c r="Y1204" s="24"/>
      <c r="Z1204" s="32"/>
    </row>
    <row r="1205" spans="21:26">
      <c r="U1205" s="23"/>
      <c r="V1205" s="25"/>
      <c r="W1205" s="24"/>
      <c r="X1205" s="25"/>
      <c r="Y1205" s="24"/>
      <c r="Z1205" s="32"/>
    </row>
    <row r="1206" spans="21:26">
      <c r="U1206" s="23"/>
      <c r="V1206" s="25"/>
      <c r="W1206" s="24"/>
      <c r="X1206" s="25"/>
      <c r="Y1206" s="24"/>
      <c r="Z1206" s="32"/>
    </row>
    <row r="1207" spans="21:26">
      <c r="U1207" s="23"/>
      <c r="V1207" s="25"/>
      <c r="W1207" s="24"/>
      <c r="X1207" s="25"/>
      <c r="Y1207" s="24"/>
      <c r="Z1207" s="32"/>
    </row>
    <row r="1208" spans="21:26">
      <c r="U1208" s="23"/>
      <c r="V1208" s="25"/>
      <c r="W1208" s="24"/>
      <c r="X1208" s="25"/>
      <c r="Y1208" s="24"/>
      <c r="Z1208" s="32"/>
    </row>
    <row r="1209" spans="21:26">
      <c r="U1209" s="23"/>
      <c r="V1209" s="25"/>
      <c r="W1209" s="24"/>
      <c r="X1209" s="25"/>
      <c r="Y1209" s="24"/>
      <c r="Z1209" s="32"/>
    </row>
    <row r="1210" spans="21:26">
      <c r="U1210" s="23"/>
      <c r="V1210" s="25"/>
      <c r="W1210" s="24"/>
      <c r="X1210" s="25"/>
      <c r="Y1210" s="24"/>
      <c r="Z1210" s="32"/>
    </row>
    <row r="1211" spans="21:26">
      <c r="U1211" s="23"/>
      <c r="V1211" s="25"/>
      <c r="W1211" s="24"/>
      <c r="X1211" s="25"/>
      <c r="Y1211" s="24"/>
      <c r="Z1211" s="32"/>
    </row>
    <row r="1212" spans="21:26">
      <c r="U1212" s="23"/>
      <c r="V1212" s="25"/>
      <c r="W1212" s="24"/>
      <c r="X1212" s="25"/>
      <c r="Y1212" s="24"/>
      <c r="Z1212" s="32"/>
    </row>
    <row r="1213" spans="21:26">
      <c r="U1213" s="23"/>
      <c r="V1213" s="25"/>
      <c r="W1213" s="24"/>
      <c r="X1213" s="25"/>
      <c r="Y1213" s="24"/>
      <c r="Z1213" s="32"/>
    </row>
    <row r="1214" spans="21:26">
      <c r="U1214" s="23"/>
      <c r="V1214" s="25"/>
      <c r="W1214" s="24"/>
      <c r="X1214" s="25"/>
      <c r="Y1214" s="24"/>
      <c r="Z1214" s="32"/>
    </row>
    <row r="1215" spans="21:26">
      <c r="U1215" s="23"/>
      <c r="V1215" s="25"/>
      <c r="W1215" s="24"/>
      <c r="X1215" s="25"/>
      <c r="Y1215" s="24"/>
      <c r="Z1215" s="32"/>
    </row>
    <row r="1216" spans="21:26">
      <c r="U1216" s="23"/>
      <c r="V1216" s="25"/>
      <c r="W1216" s="24"/>
      <c r="X1216" s="25"/>
      <c r="Y1216" s="24"/>
      <c r="Z1216" s="32"/>
    </row>
    <row r="1217" spans="21:26">
      <c r="U1217" s="23"/>
      <c r="V1217" s="25"/>
      <c r="W1217" s="24"/>
      <c r="X1217" s="25"/>
      <c r="Y1217" s="24"/>
      <c r="Z1217" s="32"/>
    </row>
    <row r="1218" spans="21:26">
      <c r="U1218" s="23"/>
      <c r="V1218" s="25"/>
      <c r="W1218" s="24"/>
      <c r="X1218" s="25"/>
      <c r="Y1218" s="24"/>
      <c r="Z1218" s="32"/>
    </row>
    <row r="1219" spans="21:26">
      <c r="U1219" s="23"/>
      <c r="V1219" s="25"/>
      <c r="W1219" s="24"/>
      <c r="X1219" s="25"/>
      <c r="Y1219" s="24"/>
      <c r="Z1219" s="32"/>
    </row>
    <row r="1220" spans="21:26">
      <c r="U1220" s="23"/>
      <c r="V1220" s="25"/>
      <c r="W1220" s="24"/>
      <c r="X1220" s="25"/>
      <c r="Y1220" s="24"/>
      <c r="Z1220" s="32"/>
    </row>
    <row r="1221" spans="21:26">
      <c r="U1221" s="23"/>
      <c r="V1221" s="25"/>
      <c r="W1221" s="24"/>
      <c r="X1221" s="25"/>
      <c r="Y1221" s="24"/>
      <c r="Z1221" s="32"/>
    </row>
    <row r="1222" spans="21:26">
      <c r="U1222" s="23"/>
      <c r="V1222" s="25"/>
      <c r="W1222" s="24"/>
      <c r="X1222" s="25"/>
      <c r="Y1222" s="24"/>
      <c r="Z1222" s="32"/>
    </row>
    <row r="1223" spans="21:26">
      <c r="U1223" s="23"/>
      <c r="V1223" s="25"/>
      <c r="W1223" s="24"/>
      <c r="X1223" s="25"/>
      <c r="Y1223" s="24"/>
      <c r="Z1223" s="32"/>
    </row>
    <row r="1224" spans="21:26">
      <c r="U1224" s="23"/>
      <c r="V1224" s="25"/>
      <c r="W1224" s="24"/>
      <c r="X1224" s="25"/>
      <c r="Y1224" s="24"/>
      <c r="Z1224" s="32"/>
    </row>
    <row r="1225" spans="21:26">
      <c r="U1225" s="23"/>
      <c r="V1225" s="25"/>
      <c r="W1225" s="24"/>
      <c r="X1225" s="25"/>
      <c r="Y1225" s="24"/>
      <c r="Z1225" s="32"/>
    </row>
    <row r="1226" spans="21:26">
      <c r="U1226" s="23"/>
      <c r="V1226" s="25"/>
      <c r="W1226" s="24"/>
      <c r="X1226" s="25"/>
      <c r="Y1226" s="24"/>
      <c r="Z1226" s="32"/>
    </row>
    <row r="1227" spans="21:26">
      <c r="U1227" s="23"/>
      <c r="V1227" s="25"/>
      <c r="W1227" s="24"/>
      <c r="X1227" s="25"/>
      <c r="Y1227" s="24"/>
      <c r="Z1227" s="32"/>
    </row>
    <row r="1228" spans="21:26">
      <c r="U1228" s="23"/>
      <c r="V1228" s="25"/>
      <c r="W1228" s="24"/>
      <c r="X1228" s="25"/>
      <c r="Y1228" s="24"/>
      <c r="Z1228" s="32"/>
    </row>
    <row r="1229" spans="21:26">
      <c r="U1229" s="23"/>
      <c r="V1229" s="25"/>
      <c r="W1229" s="24"/>
      <c r="X1229" s="25"/>
      <c r="Y1229" s="24"/>
      <c r="Z1229" s="32"/>
    </row>
    <row r="1230" spans="21:26">
      <c r="U1230" s="23"/>
      <c r="V1230" s="25"/>
      <c r="W1230" s="24"/>
      <c r="X1230" s="25"/>
      <c r="Y1230" s="24"/>
      <c r="Z1230" s="32"/>
    </row>
    <row r="1231" spans="21:26">
      <c r="U1231" s="23"/>
      <c r="V1231" s="25"/>
      <c r="W1231" s="24"/>
      <c r="X1231" s="25"/>
      <c r="Y1231" s="24"/>
      <c r="Z1231" s="32"/>
    </row>
    <row r="1232" spans="21:26">
      <c r="U1232" s="23"/>
      <c r="V1232" s="25"/>
      <c r="W1232" s="24"/>
      <c r="X1232" s="25"/>
      <c r="Y1232" s="24"/>
      <c r="Z1232" s="32"/>
    </row>
    <row r="1233" spans="21:26">
      <c r="U1233" s="23"/>
      <c r="V1233" s="25"/>
      <c r="W1233" s="24"/>
      <c r="X1233" s="25"/>
      <c r="Y1233" s="24"/>
      <c r="Z1233" s="32"/>
    </row>
    <row r="1234" spans="21:26">
      <c r="U1234" s="23"/>
      <c r="V1234" s="25"/>
      <c r="W1234" s="24"/>
      <c r="X1234" s="25"/>
      <c r="Y1234" s="24"/>
      <c r="Z1234" s="32"/>
    </row>
    <row r="1235" spans="21:26">
      <c r="U1235" s="23"/>
      <c r="V1235" s="25"/>
      <c r="W1235" s="24"/>
      <c r="X1235" s="25"/>
      <c r="Y1235" s="24"/>
      <c r="Z1235" s="32"/>
    </row>
    <row r="1236" spans="21:26">
      <c r="U1236" s="23"/>
      <c r="V1236" s="25"/>
      <c r="W1236" s="24"/>
      <c r="X1236" s="25"/>
      <c r="Y1236" s="24"/>
      <c r="Z1236" s="32"/>
    </row>
    <row r="1237" spans="21:26">
      <c r="U1237" s="23"/>
      <c r="V1237" s="25"/>
      <c r="W1237" s="24"/>
      <c r="X1237" s="25"/>
      <c r="Y1237" s="24"/>
      <c r="Z1237" s="32"/>
    </row>
    <row r="1238" spans="21:26">
      <c r="U1238" s="23"/>
      <c r="V1238" s="25"/>
      <c r="W1238" s="24"/>
      <c r="X1238" s="25"/>
      <c r="Y1238" s="24"/>
      <c r="Z1238" s="32"/>
    </row>
    <row r="1239" spans="21:26">
      <c r="U1239" s="23"/>
      <c r="V1239" s="25"/>
      <c r="W1239" s="24"/>
      <c r="X1239" s="25"/>
      <c r="Y1239" s="24"/>
      <c r="Z1239" s="32"/>
    </row>
    <row r="1240" spans="21:26">
      <c r="U1240" s="23"/>
      <c r="V1240" s="25"/>
      <c r="W1240" s="24"/>
      <c r="X1240" s="25"/>
      <c r="Y1240" s="24"/>
      <c r="Z1240" s="32"/>
    </row>
    <row r="1241" spans="21:26">
      <c r="U1241" s="23"/>
      <c r="V1241" s="25"/>
      <c r="W1241" s="24"/>
      <c r="X1241" s="25"/>
      <c r="Y1241" s="24"/>
      <c r="Z1241" s="32"/>
    </row>
    <row r="1242" spans="21:26">
      <c r="U1242" s="23"/>
      <c r="V1242" s="25"/>
      <c r="W1242" s="24"/>
      <c r="X1242" s="25"/>
      <c r="Y1242" s="24"/>
      <c r="Z1242" s="32"/>
    </row>
    <row r="1243" spans="21:26">
      <c r="U1243" s="23"/>
      <c r="V1243" s="25"/>
      <c r="W1243" s="24"/>
      <c r="X1243" s="25"/>
      <c r="Y1243" s="24"/>
      <c r="Z1243" s="32"/>
    </row>
    <row r="1244" spans="21:26">
      <c r="U1244" s="23"/>
      <c r="V1244" s="25"/>
      <c r="W1244" s="24"/>
      <c r="X1244" s="25"/>
      <c r="Y1244" s="24"/>
      <c r="Z1244" s="32"/>
    </row>
    <row r="1245" spans="21:26">
      <c r="U1245" s="23"/>
      <c r="V1245" s="25"/>
      <c r="W1245" s="24"/>
      <c r="X1245" s="25"/>
      <c r="Y1245" s="24"/>
      <c r="Z1245" s="32"/>
    </row>
    <row r="1246" spans="21:26">
      <c r="U1246" s="23"/>
      <c r="V1246" s="25"/>
      <c r="W1246" s="24"/>
      <c r="X1246" s="25"/>
      <c r="Y1246" s="24"/>
      <c r="Z1246" s="32"/>
    </row>
    <row r="1247" spans="21:26">
      <c r="U1247" s="23"/>
      <c r="V1247" s="25"/>
      <c r="W1247" s="24"/>
      <c r="X1247" s="25"/>
      <c r="Y1247" s="24"/>
      <c r="Z1247" s="32"/>
    </row>
    <row r="1248" spans="21:26">
      <c r="U1248" s="23"/>
      <c r="V1248" s="25"/>
      <c r="W1248" s="24"/>
      <c r="X1248" s="25"/>
      <c r="Y1248" s="24"/>
      <c r="Z1248" s="32"/>
    </row>
    <row r="1249" spans="21:26">
      <c r="U1249" s="23"/>
      <c r="V1249" s="25"/>
      <c r="W1249" s="24"/>
      <c r="X1249" s="25"/>
      <c r="Y1249" s="24"/>
      <c r="Z1249" s="32"/>
    </row>
    <row r="1250" spans="21:26">
      <c r="U1250" s="23"/>
      <c r="V1250" s="25"/>
      <c r="W1250" s="24"/>
      <c r="X1250" s="25"/>
      <c r="Y1250" s="24"/>
      <c r="Z1250" s="32"/>
    </row>
  </sheetData>
  <mergeCells count="4">
    <mergeCell ref="H9:J9"/>
    <mergeCell ref="G11:I11"/>
    <mergeCell ref="G12:I12"/>
    <mergeCell ref="G14:I14"/>
  </mergeCells>
  <dataValidations count="1">
    <dataValidation type="list" allowBlank="1" showInputMessage="1" showErrorMessage="1" sqref="H9:J9" xr:uid="{6029D247-5DA5-45F8-B13B-EECFF963A16B}">
      <formula1>$G$11:$G$12</formula1>
    </dataValidation>
  </dataValidations>
  <hyperlinks>
    <hyperlink ref="C17" location="WACC!A32" display="WACC!A32" xr:uid="{BB1E1C2C-F4B3-495B-A73A-5D1B1CAA4E93}"/>
    <hyperlink ref="C19" location="WACC!A33" display="WACC!A33" xr:uid="{7F2DC466-D7CC-41FB-8F92-AAE5AD5F6A54}"/>
    <hyperlink ref="C9" location="WACC!A32" display="WACC!A32" xr:uid="{43C1CCC2-182A-42C5-80F6-D4BDA98EBB84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B39F-FD09-43B2-9BBB-831D2528C738}">
  <dimension ref="B2:U34"/>
  <sheetViews>
    <sheetView showGridLines="0" zoomScaleNormal="100" workbookViewId="0">
      <selection activeCell="B6" sqref="B6:T6"/>
    </sheetView>
  </sheetViews>
  <sheetFormatPr defaultRowHeight="14.25"/>
  <cols>
    <col min="1" max="1" width="4.625" customWidth="1"/>
    <col min="5" max="20" width="10.625" customWidth="1"/>
  </cols>
  <sheetData>
    <row r="2" spans="2:21">
      <c r="B2" s="8" t="str">
        <f>"Exihibit "&amp;VLOOKUP(B3,TOC!$B$7:$D$13,3,FALSE)</f>
        <v>Exihibit 7</v>
      </c>
      <c r="C2" s="8"/>
      <c r="D2" s="8"/>
      <c r="E2" s="8"/>
      <c r="F2" s="8"/>
      <c r="G2" s="8"/>
      <c r="H2" s="8"/>
    </row>
    <row r="3" spans="2:21" ht="30">
      <c r="B3" s="9" t="s">
        <v>9</v>
      </c>
      <c r="C3" s="10"/>
      <c r="D3" s="10"/>
      <c r="E3" s="10"/>
      <c r="F3" s="10"/>
      <c r="G3" s="10"/>
      <c r="H3" s="10"/>
    </row>
    <row r="4" spans="2:21" ht="15.75" thickBot="1">
      <c r="B4" s="12" t="s">
        <v>10</v>
      </c>
      <c r="C4" s="13"/>
      <c r="D4" s="13"/>
      <c r="E4" s="13"/>
      <c r="F4" s="13"/>
      <c r="G4" s="13"/>
      <c r="H4" s="14"/>
    </row>
    <row r="6" spans="2:21">
      <c r="B6" s="48" t="s">
        <v>18</v>
      </c>
      <c r="C6" s="49"/>
      <c r="D6" s="49"/>
      <c r="E6" s="50">
        <v>2015</v>
      </c>
      <c r="F6" s="50">
        <f>E6+1</f>
        <v>2016</v>
      </c>
      <c r="G6" s="50">
        <f t="shared" ref="G6:T6" si="0">F6+1</f>
        <v>2017</v>
      </c>
      <c r="H6" s="50">
        <f t="shared" si="0"/>
        <v>2018</v>
      </c>
      <c r="I6" s="50">
        <f t="shared" si="0"/>
        <v>2019</v>
      </c>
      <c r="J6" s="50">
        <f t="shared" si="0"/>
        <v>2020</v>
      </c>
      <c r="K6" s="50">
        <f t="shared" si="0"/>
        <v>2021</v>
      </c>
      <c r="L6" s="50">
        <f t="shared" si="0"/>
        <v>2022</v>
      </c>
      <c r="M6" s="50">
        <f t="shared" si="0"/>
        <v>2023</v>
      </c>
      <c r="N6" s="50">
        <f t="shared" si="0"/>
        <v>2024</v>
      </c>
      <c r="O6" s="50">
        <f t="shared" si="0"/>
        <v>2025</v>
      </c>
      <c r="P6" s="51">
        <f t="shared" si="0"/>
        <v>2026</v>
      </c>
      <c r="Q6" s="51">
        <f t="shared" si="0"/>
        <v>2027</v>
      </c>
      <c r="R6" s="51">
        <f t="shared" si="0"/>
        <v>2028</v>
      </c>
      <c r="S6" s="51">
        <f t="shared" si="0"/>
        <v>2029</v>
      </c>
      <c r="T6" s="51">
        <f t="shared" si="0"/>
        <v>2030</v>
      </c>
    </row>
    <row r="8" spans="2:21">
      <c r="B8" t="s">
        <v>642</v>
      </c>
      <c r="E8" s="1">
        <v>549.64</v>
      </c>
      <c r="F8" s="1">
        <v>592.94000000000005</v>
      </c>
      <c r="G8" s="1">
        <v>609.4</v>
      </c>
      <c r="H8" s="1">
        <v>621.6</v>
      </c>
      <c r="I8" s="1">
        <v>719.8</v>
      </c>
      <c r="J8" s="1">
        <v>848.36</v>
      </c>
      <c r="K8" s="1">
        <v>891.62663800000007</v>
      </c>
      <c r="L8" s="1">
        <v>954.06865399999992</v>
      </c>
      <c r="M8" s="1">
        <v>1210.6680980000001</v>
      </c>
      <c r="N8" s="1">
        <v>1595.1592520000002</v>
      </c>
      <c r="O8" s="1">
        <v>1863.3146410000002</v>
      </c>
      <c r="P8" s="2">
        <f>$H$32+($H$33*P10)+($H$34*P12)</f>
        <v>1846.9490271450259</v>
      </c>
      <c r="Q8" s="2">
        <f t="shared" ref="Q8:T8" si="1">$H$32+($H$33*Q10)+($H$34*Q12)</f>
        <v>2038.5260272942719</v>
      </c>
      <c r="R8" s="2">
        <f t="shared" si="1"/>
        <v>2235.2044291543866</v>
      </c>
      <c r="S8" s="2">
        <f t="shared" si="1"/>
        <v>2436.2589550701955</v>
      </c>
      <c r="T8" s="2">
        <f t="shared" si="1"/>
        <v>2640.8782934558858</v>
      </c>
    </row>
    <row r="9" spans="2:21">
      <c r="B9" s="52" t="s">
        <v>643</v>
      </c>
      <c r="E9" s="1"/>
      <c r="F9" s="53">
        <f>F8/E8-1</f>
        <v>7.8778837056982853E-2</v>
      </c>
      <c r="G9" s="53">
        <f t="shared" ref="G9:R9" si="2">G8/F8-1</f>
        <v>2.7759975714237495E-2</v>
      </c>
      <c r="H9" s="53">
        <f t="shared" si="2"/>
        <v>2.0019691499836068E-2</v>
      </c>
      <c r="I9" s="53">
        <f t="shared" si="2"/>
        <v>0.1579794079794079</v>
      </c>
      <c r="J9" s="53">
        <f t="shared" si="2"/>
        <v>0.17860516810225069</v>
      </c>
      <c r="K9" s="53">
        <f t="shared" si="2"/>
        <v>5.1000327691074654E-2</v>
      </c>
      <c r="L9" s="53">
        <f t="shared" si="2"/>
        <v>7.003157301363605E-2</v>
      </c>
      <c r="M9" s="53">
        <f t="shared" si="2"/>
        <v>0.26895280850512071</v>
      </c>
      <c r="N9" s="53">
        <f t="shared" si="2"/>
        <v>0.31758593014482828</v>
      </c>
      <c r="O9" s="53">
        <f t="shared" si="2"/>
        <v>0.1681057165068558</v>
      </c>
      <c r="P9" s="53">
        <f>P8/O8-1</f>
        <v>-8.783065132892065E-3</v>
      </c>
      <c r="Q9" s="53">
        <f>Q8/P8-1</f>
        <v>0.10372619781791248</v>
      </c>
      <c r="R9" s="53">
        <f t="shared" si="2"/>
        <v>9.6480692042556493E-2</v>
      </c>
      <c r="S9" s="53">
        <f>S8/R8-1</f>
        <v>8.9949054902271675E-2</v>
      </c>
      <c r="T9" s="53">
        <f>T8/S8-1</f>
        <v>8.3989158032584665E-2</v>
      </c>
    </row>
    <row r="10" spans="2:21">
      <c r="B10" t="s">
        <v>644</v>
      </c>
      <c r="E10" s="1">
        <v>2.1</v>
      </c>
      <c r="F10" s="1">
        <v>2.29</v>
      </c>
      <c r="G10" s="1">
        <v>2.65</v>
      </c>
      <c r="H10" s="1">
        <v>2.7</v>
      </c>
      <c r="I10" s="1">
        <v>2.84</v>
      </c>
      <c r="J10" s="1">
        <v>2.67</v>
      </c>
      <c r="K10" s="1">
        <v>3.17</v>
      </c>
      <c r="L10" s="1">
        <v>3.35</v>
      </c>
      <c r="M10" s="1">
        <v>3.64</v>
      </c>
      <c r="N10" s="1">
        <v>3.91</v>
      </c>
      <c r="O10" s="1">
        <v>4.1981814637174342</v>
      </c>
      <c r="P10" s="2">
        <f>O10*(1+P11)</f>
        <v>4.4960968441803537</v>
      </c>
      <c r="Q10" s="2">
        <f t="shared" ref="Q10:T10" si="3">P10*(1+Q11)</f>
        <v>4.8028305499605652</v>
      </c>
      <c r="R10" s="2">
        <f t="shared" si="3"/>
        <v>5.1173270009483467</v>
      </c>
      <c r="S10" s="2">
        <f t="shared" si="3"/>
        <v>5.4383918829505955</v>
      </c>
      <c r="T10" s="2">
        <f t="shared" si="3"/>
        <v>5.7646953959276317</v>
      </c>
    </row>
    <row r="11" spans="2:21">
      <c r="B11" s="52" t="s">
        <v>643</v>
      </c>
      <c r="C11" s="54"/>
      <c r="D11" s="54"/>
      <c r="E11" s="55"/>
      <c r="F11" s="53">
        <f>F10/E10-1</f>
        <v>9.0476190476190377E-2</v>
      </c>
      <c r="G11" s="53">
        <f t="shared" ref="G11:O11" si="4">G10/F10-1</f>
        <v>0.15720524017467241</v>
      </c>
      <c r="H11" s="53">
        <f t="shared" si="4"/>
        <v>1.8867924528301883E-2</v>
      </c>
      <c r="I11" s="53">
        <f t="shared" si="4"/>
        <v>5.1851851851851816E-2</v>
      </c>
      <c r="J11" s="53">
        <f t="shared" si="4"/>
        <v>-5.9859154929577496E-2</v>
      </c>
      <c r="K11" s="53">
        <f t="shared" si="4"/>
        <v>0.18726591760299627</v>
      </c>
      <c r="L11" s="53">
        <f t="shared" si="4"/>
        <v>5.6782334384858135E-2</v>
      </c>
      <c r="M11" s="53">
        <f t="shared" si="4"/>
        <v>8.6567164179104594E-2</v>
      </c>
      <c r="N11" s="53">
        <f t="shared" si="4"/>
        <v>7.4175824175824134E-2</v>
      </c>
      <c r="O11" s="53">
        <f t="shared" si="4"/>
        <v>7.3703699160469149E-2</v>
      </c>
      <c r="P11" s="5">
        <f>O11-($O$11-$T$11)/5</f>
        <v>7.0962959328375319E-2</v>
      </c>
      <c r="Q11" s="5">
        <f t="shared" ref="Q11:S11" si="5">P11-($O$11-$T$11)/5</f>
        <v>6.8222219496281489E-2</v>
      </c>
      <c r="R11" s="5">
        <f t="shared" si="5"/>
        <v>6.5481479664187658E-2</v>
      </c>
      <c r="S11" s="5">
        <f t="shared" si="5"/>
        <v>6.2740739832093828E-2</v>
      </c>
      <c r="T11" s="5">
        <v>0.06</v>
      </c>
      <c r="U11" s="56"/>
    </row>
    <row r="12" spans="2:21">
      <c r="B12" t="s">
        <v>645</v>
      </c>
      <c r="E12">
        <v>1.86</v>
      </c>
      <c r="F12" s="1">
        <f>E10</f>
        <v>2.1</v>
      </c>
      <c r="G12" s="1">
        <f t="shared" ref="G12:N12" si="6">F10</f>
        <v>2.29</v>
      </c>
      <c r="H12" s="1">
        <f t="shared" si="6"/>
        <v>2.65</v>
      </c>
      <c r="I12" s="1">
        <f t="shared" si="6"/>
        <v>2.7</v>
      </c>
      <c r="J12" s="1">
        <f t="shared" si="6"/>
        <v>2.84</v>
      </c>
      <c r="K12" s="1">
        <f t="shared" si="6"/>
        <v>2.67</v>
      </c>
      <c r="L12" s="1">
        <f t="shared" si="6"/>
        <v>3.17</v>
      </c>
      <c r="M12" s="1">
        <f t="shared" si="6"/>
        <v>3.35</v>
      </c>
      <c r="N12" s="1">
        <f t="shared" si="6"/>
        <v>3.64</v>
      </c>
      <c r="O12" s="1">
        <f>N10</f>
        <v>3.91</v>
      </c>
      <c r="P12" s="1">
        <f t="shared" ref="P12:T12" si="7">O10</f>
        <v>4.1981814637174342</v>
      </c>
      <c r="Q12" s="1">
        <f t="shared" si="7"/>
        <v>4.4960968441803537</v>
      </c>
      <c r="R12" s="1">
        <f t="shared" si="7"/>
        <v>4.8028305499605652</v>
      </c>
      <c r="S12" s="1">
        <f t="shared" si="7"/>
        <v>5.1173270009483467</v>
      </c>
      <c r="T12" s="1">
        <f t="shared" si="7"/>
        <v>5.4383918829505955</v>
      </c>
    </row>
    <row r="16" spans="2:21" ht="15">
      <c r="B16" s="3" t="str">
        <f>B8</f>
        <v>Revenue</v>
      </c>
      <c r="C16" s="57" t="str">
        <f>B10</f>
        <v>India GDP (in trillion)</v>
      </c>
      <c r="D16" s="3" t="str">
        <f>B12</f>
        <v>Lagged GDP</v>
      </c>
      <c r="G16" t="s">
        <v>646</v>
      </c>
    </row>
    <row r="17" spans="2:15">
      <c r="B17" cm="1">
        <f t="array" ref="B17:B27">TRANSPOSE(E8:O8)</f>
        <v>549.64</v>
      </c>
      <c r="C17" s="1" cm="1">
        <f t="array" ref="C17:C27">TRANSPOSE(E10:O10)</f>
        <v>2.1</v>
      </c>
      <c r="D17" cm="1">
        <f t="array" ref="D17:D27">TRANSPOSE(E12:O12)</f>
        <v>1.86</v>
      </c>
    </row>
    <row r="18" spans="2:15" ht="15" thickBot="1">
      <c r="B18">
        <v>592.94000000000005</v>
      </c>
      <c r="C18" s="1">
        <v>2.29</v>
      </c>
      <c r="D18">
        <v>2.1</v>
      </c>
      <c r="G18" s="111" t="s">
        <v>647</v>
      </c>
      <c r="H18" s="111"/>
      <c r="I18" s="111"/>
    </row>
    <row r="19" spans="2:15">
      <c r="B19">
        <v>609.4</v>
      </c>
      <c r="C19" s="1">
        <v>2.65</v>
      </c>
      <c r="D19">
        <v>2.29</v>
      </c>
      <c r="G19" t="s">
        <v>648</v>
      </c>
      <c r="I19" s="58">
        <v>0.94535780114281587</v>
      </c>
    </row>
    <row r="20" spans="2:15">
      <c r="B20">
        <v>621.6</v>
      </c>
      <c r="C20" s="1">
        <v>2.7</v>
      </c>
      <c r="D20">
        <v>2.65</v>
      </c>
      <c r="G20" t="s">
        <v>649</v>
      </c>
      <c r="I20" s="58">
        <v>0.89370137218157975</v>
      </c>
    </row>
    <row r="21" spans="2:15">
      <c r="B21">
        <v>719.8</v>
      </c>
      <c r="C21" s="1">
        <v>2.84</v>
      </c>
      <c r="D21">
        <v>2.7</v>
      </c>
      <c r="G21" t="s">
        <v>650</v>
      </c>
      <c r="I21" s="58">
        <v>0.8671267152269746</v>
      </c>
    </row>
    <row r="22" spans="2:15">
      <c r="B22">
        <v>848.36</v>
      </c>
      <c r="C22" s="1">
        <v>2.67</v>
      </c>
      <c r="D22">
        <v>2.84</v>
      </c>
      <c r="G22" t="s">
        <v>651</v>
      </c>
      <c r="I22" s="58">
        <v>158.75160219726806</v>
      </c>
    </row>
    <row r="23" spans="2:15">
      <c r="B23">
        <v>891.62663800000007</v>
      </c>
      <c r="C23" s="1">
        <v>3.17</v>
      </c>
      <c r="D23">
        <v>2.67</v>
      </c>
      <c r="G23" s="59" t="s">
        <v>652</v>
      </c>
      <c r="H23" s="59"/>
      <c r="I23" s="59">
        <v>11</v>
      </c>
    </row>
    <row r="24" spans="2:15">
      <c r="B24">
        <v>954.06865399999992</v>
      </c>
      <c r="C24" s="1">
        <v>3.35</v>
      </c>
      <c r="D24">
        <v>3.17</v>
      </c>
    </row>
    <row r="25" spans="2:15" ht="15" thickBot="1">
      <c r="B25">
        <v>1210.6680980000001</v>
      </c>
      <c r="C25" s="1">
        <v>3.64</v>
      </c>
      <c r="D25">
        <v>3.35</v>
      </c>
      <c r="G25" t="s">
        <v>653</v>
      </c>
    </row>
    <row r="26" spans="2:15">
      <c r="B26">
        <v>1595.1592520000002</v>
      </c>
      <c r="C26" s="1">
        <v>3.91</v>
      </c>
      <c r="D26">
        <v>3.64</v>
      </c>
      <c r="G26" s="60"/>
      <c r="H26" s="60" t="s">
        <v>654</v>
      </c>
      <c r="I26" s="60" t="s">
        <v>655</v>
      </c>
      <c r="J26" s="60" t="s">
        <v>656</v>
      </c>
      <c r="K26" s="60" t="s">
        <v>657</v>
      </c>
      <c r="L26" s="60" t="s">
        <v>658</v>
      </c>
    </row>
    <row r="27" spans="2:15">
      <c r="B27">
        <v>1863.3146410000002</v>
      </c>
      <c r="C27">
        <v>4.1981814637174342</v>
      </c>
      <c r="D27">
        <v>3.91</v>
      </c>
      <c r="G27" t="s">
        <v>659</v>
      </c>
      <c r="H27">
        <v>2</v>
      </c>
      <c r="I27">
        <v>1695083.0749695394</v>
      </c>
      <c r="J27">
        <v>847541.53748476971</v>
      </c>
      <c r="K27">
        <v>33.629836641285884</v>
      </c>
      <c r="L27">
        <v>1.276764014014575E-4</v>
      </c>
    </row>
    <row r="28" spans="2:15">
      <c r="G28" t="s">
        <v>660</v>
      </c>
      <c r="H28">
        <v>8</v>
      </c>
      <c r="I28">
        <v>201616.56960159715</v>
      </c>
      <c r="J28">
        <v>25202.071200199643</v>
      </c>
    </row>
    <row r="29" spans="2:15" ht="15" thickBot="1">
      <c r="G29" s="61" t="s">
        <v>661</v>
      </c>
      <c r="H29" s="61">
        <v>10</v>
      </c>
      <c r="I29" s="61">
        <v>1896699.6445711367</v>
      </c>
      <c r="J29" s="61"/>
      <c r="K29" s="61"/>
      <c r="L29" s="61"/>
    </row>
    <row r="30" spans="2:15" ht="15" thickBot="1"/>
    <row r="31" spans="2:15">
      <c r="G31" s="60"/>
      <c r="H31" s="62" t="s">
        <v>662</v>
      </c>
      <c r="I31" s="62" t="s">
        <v>651</v>
      </c>
      <c r="J31" s="62" t="s">
        <v>663</v>
      </c>
      <c r="K31" s="62" t="s">
        <v>664</v>
      </c>
      <c r="L31" s="62" t="s">
        <v>665</v>
      </c>
      <c r="M31" s="62" t="s">
        <v>666</v>
      </c>
      <c r="N31" s="62" t="s">
        <v>667</v>
      </c>
      <c r="O31" s="62" t="s">
        <v>668</v>
      </c>
    </row>
    <row r="32" spans="2:15">
      <c r="G32" t="s">
        <v>669</v>
      </c>
      <c r="H32">
        <v>-927.81240545513538</v>
      </c>
      <c r="I32">
        <v>234.15383293495285</v>
      </c>
      <c r="J32">
        <v>-3.9624053718261303</v>
      </c>
      <c r="K32">
        <v>4.1629786162938375E-3</v>
      </c>
      <c r="L32">
        <v>-1467.7721124770424</v>
      </c>
      <c r="M32">
        <v>-387.8526984332284</v>
      </c>
      <c r="N32">
        <v>-1467.7721124770424</v>
      </c>
      <c r="O32">
        <v>-387.8526984332284</v>
      </c>
    </row>
    <row r="33" spans="7:15">
      <c r="G33" t="s">
        <v>670</v>
      </c>
      <c r="H33">
        <v>432.39809999906248</v>
      </c>
      <c r="I33">
        <v>290.34729378996184</v>
      </c>
      <c r="J33">
        <v>1.4892444642926848</v>
      </c>
      <c r="K33">
        <v>0.17474965667591111</v>
      </c>
      <c r="L33">
        <v>-237.14396012592869</v>
      </c>
      <c r="M33">
        <v>1101.9401601240536</v>
      </c>
      <c r="N33">
        <v>-237.14396012592869</v>
      </c>
      <c r="O33">
        <v>1101.9401601240536</v>
      </c>
    </row>
    <row r="34" spans="7:15" ht="15" thickBot="1">
      <c r="G34" s="61" t="s">
        <v>671</v>
      </c>
      <c r="H34" s="61">
        <v>197.86131374827687</v>
      </c>
      <c r="I34" s="61">
        <v>304.78839126733294</v>
      </c>
      <c r="J34" s="61">
        <v>0.64917601659812152</v>
      </c>
      <c r="K34" s="61">
        <v>0.53441390604084615</v>
      </c>
      <c r="L34" s="61">
        <v>-504.98197687641857</v>
      </c>
      <c r="M34" s="61">
        <v>900.70460437297231</v>
      </c>
      <c r="N34" s="61">
        <v>-504.98197687641857</v>
      </c>
      <c r="O34" s="61">
        <v>900.70460437297231</v>
      </c>
    </row>
  </sheetData>
  <mergeCells count="1">
    <mergeCell ref="G18:I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TOC</vt:lpstr>
      <vt:lpstr>Residual Income</vt:lpstr>
      <vt:lpstr>DDM</vt:lpstr>
      <vt:lpstr>Ratios</vt:lpstr>
      <vt:lpstr>WACC</vt:lpstr>
      <vt:lpstr>Regression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Shashank Singh</dc:creator>
  <cp:keywords/>
  <dc:description/>
  <cp:lastModifiedBy>Shashank Singh</cp:lastModifiedBy>
  <cp:revision/>
  <dcterms:created xsi:type="dcterms:W3CDTF">2025-10-24T17:08:22Z</dcterms:created>
  <dcterms:modified xsi:type="dcterms:W3CDTF">2026-04-16T16:15:01Z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{810471FA-085C-4BF6-A240-BDA10ECFBCCB}</vt:lpwstr>
  </property>
</Properties>
</file>